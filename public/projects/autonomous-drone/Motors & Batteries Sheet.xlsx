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1354686_u_nus_edu/Documents/SAFMC Drone UREx/"/>
    </mc:Choice>
  </mc:AlternateContent>
  <xr:revisionPtr revIDLastSave="0" documentId="8_{590E6090-EB2D-45E8-BE2D-FC6F05306187}" xr6:coauthVersionLast="47" xr6:coauthVersionMax="47" xr10:uidLastSave="{00000000-0000-0000-0000-000000000000}"/>
  <bookViews>
    <workbookView xWindow="-110" yWindow="-110" windowWidth="25820" windowHeight="15500" firstSheet="1" activeTab="1" xr2:uid="{00000000-000D-0000-FFFF-FFFF00000000}"/>
  </bookViews>
  <sheets>
    <sheet name="Calculations" sheetId="3" r:id="rId1"/>
    <sheet name="Results (DO NOT EDIT)" sheetId="4" r:id="rId2"/>
    <sheet name="Motors" sheetId="1" r:id="rId3"/>
    <sheet name="Batterie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4" l="1"/>
  <c r="B8" i="3" a="1"/>
  <c r="B8" i="3"/>
  <c r="A17" i="4" s="1"/>
  <c r="B3" i="4"/>
  <c r="B4" i="4"/>
  <c r="B5" i="4"/>
  <c r="B6" i="4"/>
  <c r="B7" i="4"/>
  <c r="B8" i="4"/>
  <c r="B9" i="4"/>
  <c r="J9" i="4" a="1"/>
  <c r="J9" i="4" s="1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2" i="4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J3" i="4" a="1"/>
  <c r="J3" i="4" s="1"/>
  <c r="J4" i="4" a="1"/>
  <c r="J4" i="4" s="1"/>
  <c r="J5" i="4" a="1"/>
  <c r="J5" i="4" s="1"/>
  <c r="J6" i="4" a="1"/>
  <c r="J6" i="4" s="1"/>
  <c r="J7" i="4" a="1"/>
  <c r="J7" i="4" s="1"/>
  <c r="J8" i="4" a="1"/>
  <c r="J8" i="4" s="1"/>
  <c r="J10" i="4" a="1"/>
  <c r="J10" i="4" s="1"/>
  <c r="J11" i="4" a="1"/>
  <c r="J11" i="4" s="1"/>
  <c r="J12" i="4" a="1"/>
  <c r="J12" i="4" s="1"/>
  <c r="J13" i="4" a="1"/>
  <c r="J13" i="4" s="1"/>
  <c r="J14" i="4" a="1"/>
  <c r="J14" i="4" s="1"/>
  <c r="J15" i="4" a="1"/>
  <c r="J15" i="4" s="1"/>
  <c r="J16" i="4" a="1"/>
  <c r="J16" i="4" s="1"/>
  <c r="J17" i="4" a="1"/>
  <c r="J17" i="4" s="1"/>
  <c r="J18" i="4" a="1"/>
  <c r="J18" i="4" s="1"/>
  <c r="J19" i="4" a="1"/>
  <c r="J19" i="4" s="1"/>
  <c r="J20" i="4" a="1"/>
  <c r="J20" i="4" s="1"/>
  <c r="J21" i="4" a="1"/>
  <c r="J21" i="4" s="1"/>
  <c r="J22" i="4" a="1"/>
  <c r="J22" i="4" s="1"/>
  <c r="J23" i="4" a="1"/>
  <c r="J23" i="4" s="1"/>
  <c r="J24" i="4" a="1"/>
  <c r="J24" i="4" s="1"/>
  <c r="J25" i="4" a="1"/>
  <c r="J25" i="4" s="1"/>
  <c r="J26" i="4" a="1"/>
  <c r="J26" i="4" s="1"/>
  <c r="J27" i="4" a="1"/>
  <c r="J27" i="4" s="1"/>
  <c r="J28" i="4" a="1"/>
  <c r="J28" i="4" s="1"/>
  <c r="J29" i="4" a="1"/>
  <c r="J29" i="4" s="1"/>
  <c r="J30" i="4" a="1"/>
  <c r="J30" i="4" s="1"/>
  <c r="J31" i="4" a="1"/>
  <c r="J31" i="4" s="1"/>
  <c r="J32" i="4" a="1"/>
  <c r="J32" i="4" s="1"/>
  <c r="J33" i="4" a="1"/>
  <c r="J33" i="4" s="1"/>
  <c r="J34" i="4" a="1"/>
  <c r="J34" i="4" s="1"/>
  <c r="J35" i="4" a="1"/>
  <c r="J35" i="4" s="1"/>
  <c r="J36" i="4" a="1"/>
  <c r="J36" i="4" s="1"/>
  <c r="J37" i="4" a="1"/>
  <c r="J37" i="4" s="1"/>
  <c r="J38" i="4" a="1"/>
  <c r="J38" i="4" s="1"/>
  <c r="J39" i="4" a="1"/>
  <c r="J39" i="4" s="1"/>
  <c r="J40" i="4" a="1"/>
  <c r="J40" i="4" s="1"/>
  <c r="J41" i="4" a="1"/>
  <c r="J41" i="4" s="1"/>
  <c r="J42" i="4" a="1"/>
  <c r="J42" i="4" s="1"/>
  <c r="J43" i="4" a="1"/>
  <c r="J43" i="4" s="1"/>
  <c r="J44" i="4" a="1"/>
  <c r="J44" i="4" s="1"/>
  <c r="J45" i="4" a="1"/>
  <c r="J45" i="4" s="1"/>
  <c r="J46" i="4" a="1"/>
  <c r="J46" i="4" s="1"/>
  <c r="J47" i="4" a="1"/>
  <c r="J47" i="4" s="1"/>
  <c r="J48" i="4" a="1"/>
  <c r="J48" i="4" s="1"/>
  <c r="J49" i="4" a="1"/>
  <c r="J49" i="4" s="1"/>
  <c r="J50" i="4" a="1"/>
  <c r="J50" i="4" s="1"/>
  <c r="J51" i="4" a="1"/>
  <c r="J51" i="4" s="1"/>
  <c r="J52" i="4" a="1"/>
  <c r="J52" i="4" s="1"/>
  <c r="J53" i="4" a="1"/>
  <c r="J53" i="4" s="1"/>
  <c r="J54" i="4" a="1"/>
  <c r="J54" i="4" s="1"/>
  <c r="J55" i="4" a="1"/>
  <c r="J55" i="4" s="1"/>
  <c r="J56" i="4" a="1"/>
  <c r="J56" i="4" s="1"/>
  <c r="J57" i="4" a="1"/>
  <c r="J57" i="4" s="1"/>
  <c r="J58" i="4" a="1"/>
  <c r="J58" i="4" s="1"/>
  <c r="J59" i="4" a="1"/>
  <c r="J59" i="4" s="1"/>
  <c r="J60" i="4" a="1"/>
  <c r="J60" i="4" s="1"/>
  <c r="J61" i="4" a="1"/>
  <c r="J61" i="4" s="1"/>
  <c r="J62" i="4" a="1"/>
  <c r="J62" i="4" s="1"/>
  <c r="J63" i="4" a="1"/>
  <c r="J63" i="4" s="1"/>
  <c r="J64" i="4" a="1"/>
  <c r="J64" i="4" s="1"/>
  <c r="J65" i="4" a="1"/>
  <c r="J65" i="4" s="1"/>
  <c r="J66" i="4" a="1"/>
  <c r="J66" i="4" s="1"/>
  <c r="J67" i="4" a="1"/>
  <c r="J67" i="4" s="1"/>
  <c r="J68" i="4" a="1"/>
  <c r="J68" i="4" s="1"/>
  <c r="J69" i="4" a="1"/>
  <c r="J69" i="4" s="1"/>
  <c r="J70" i="4" a="1"/>
  <c r="J70" i="4" s="1"/>
  <c r="J71" i="4" a="1"/>
  <c r="J71" i="4" s="1"/>
  <c r="J72" i="4" a="1"/>
  <c r="J72" i="4" s="1"/>
  <c r="J73" i="4" a="1"/>
  <c r="J73" i="4" s="1"/>
  <c r="J74" i="4" a="1"/>
  <c r="J74" i="4" s="1"/>
  <c r="J75" i="4" a="1"/>
  <c r="J75" i="4" s="1"/>
  <c r="J76" i="4" a="1"/>
  <c r="J76" i="4" s="1"/>
  <c r="J77" i="4" a="1"/>
  <c r="J77" i="4" s="1"/>
  <c r="J78" i="4" a="1"/>
  <c r="J78" i="4" s="1"/>
  <c r="J79" i="4" a="1"/>
  <c r="J79" i="4" s="1"/>
  <c r="J80" i="4" a="1"/>
  <c r="J80" i="4" s="1"/>
  <c r="J81" i="4" a="1"/>
  <c r="J81" i="4" s="1"/>
  <c r="J82" i="4" a="1"/>
  <c r="J82" i="4" s="1"/>
  <c r="J83" i="4" a="1"/>
  <c r="J83" i="4" s="1"/>
  <c r="J84" i="4" a="1"/>
  <c r="J84" i="4" s="1"/>
  <c r="J85" i="4" a="1"/>
  <c r="J85" i="4" s="1"/>
  <c r="J86" i="4" a="1"/>
  <c r="J86" i="4" s="1"/>
  <c r="J87" i="4" a="1"/>
  <c r="J87" i="4" s="1"/>
  <c r="J88" i="4" a="1"/>
  <c r="J88" i="4" s="1"/>
  <c r="J89" i="4" a="1"/>
  <c r="J89" i="4" s="1"/>
  <c r="J90" i="4" a="1"/>
  <c r="J90" i="4" s="1"/>
  <c r="J91" i="4" a="1"/>
  <c r="J91" i="4" s="1"/>
  <c r="J92" i="4" a="1"/>
  <c r="J92" i="4" s="1"/>
  <c r="J93" i="4" a="1"/>
  <c r="J93" i="4" s="1"/>
  <c r="J94" i="4" a="1"/>
  <c r="J94" i="4" s="1"/>
  <c r="J95" i="4" a="1"/>
  <c r="J95" i="4" s="1"/>
  <c r="J96" i="4" a="1"/>
  <c r="J96" i="4" s="1"/>
  <c r="J97" i="4" a="1"/>
  <c r="J97" i="4" s="1"/>
  <c r="J98" i="4" a="1"/>
  <c r="J98" i="4" s="1"/>
  <c r="J99" i="4" a="1"/>
  <c r="J99" i="4" s="1"/>
  <c r="J100" i="4" a="1"/>
  <c r="J100" i="4" s="1"/>
  <c r="J101" i="4" a="1"/>
  <c r="J101" i="4" s="1"/>
  <c r="J102" i="4" a="1"/>
  <c r="J102" i="4" s="1"/>
  <c r="J103" i="4" a="1"/>
  <c r="J103" i="4" s="1"/>
  <c r="J104" i="4" a="1"/>
  <c r="J104" i="4" s="1"/>
  <c r="J105" i="4" a="1"/>
  <c r="J105" i="4" s="1"/>
  <c r="J106" i="4" a="1"/>
  <c r="J106" i="4" s="1"/>
  <c r="J107" i="4" a="1"/>
  <c r="J107" i="4" s="1"/>
  <c r="J108" i="4" a="1"/>
  <c r="J108" i="4" s="1"/>
  <c r="J109" i="4" a="1"/>
  <c r="J109" i="4" s="1"/>
  <c r="J110" i="4" a="1"/>
  <c r="J110" i="4" s="1"/>
  <c r="J111" i="4" a="1"/>
  <c r="J111" i="4" s="1"/>
  <c r="J112" i="4" a="1"/>
  <c r="J112" i="4" s="1"/>
  <c r="J113" i="4" a="1"/>
  <c r="J113" i="4" s="1"/>
  <c r="J114" i="4" a="1"/>
  <c r="J114" i="4" s="1"/>
  <c r="J115" i="4" a="1"/>
  <c r="J115" i="4" s="1"/>
  <c r="J2" i="4" a="1"/>
  <c r="J2" i="4" s="1"/>
  <c r="A3" i="4"/>
  <c r="A4" i="4"/>
  <c r="F4" i="4" s="1"/>
  <c r="A5" i="4"/>
  <c r="A6" i="4"/>
  <c r="A7" i="4"/>
  <c r="F7" i="4" s="1"/>
  <c r="A8" i="4"/>
  <c r="A9" i="4"/>
  <c r="A10" i="4"/>
  <c r="F10" i="4" s="1"/>
  <c r="A11" i="4"/>
  <c r="A12" i="4"/>
  <c r="A13" i="4"/>
  <c r="F13" i="4" s="1"/>
  <c r="A14" i="4"/>
  <c r="A15" i="4"/>
  <c r="I15" i="4" s="1" a="1"/>
  <c r="I15" i="4" s="1"/>
  <c r="A16" i="4"/>
  <c r="A18" i="4"/>
  <c r="I18" i="4" s="1" a="1"/>
  <c r="I18" i="4" s="1"/>
  <c r="A19" i="4"/>
  <c r="A20" i="4"/>
  <c r="I20" i="4" s="1" a="1"/>
  <c r="I20" i="4" s="1"/>
  <c r="A21" i="4"/>
  <c r="I21" i="4" s="1" a="1"/>
  <c r="I21" i="4" s="1"/>
  <c r="A22" i="4"/>
  <c r="A23" i="4"/>
  <c r="I23" i="4" s="1" a="1"/>
  <c r="I23" i="4" s="1"/>
  <c r="A24" i="4"/>
  <c r="I24" i="4" s="1" a="1"/>
  <c r="I24" i="4" s="1"/>
  <c r="A25" i="4"/>
  <c r="A26" i="4"/>
  <c r="I26" i="4" s="1" a="1"/>
  <c r="I26" i="4" s="1"/>
  <c r="A27" i="4"/>
  <c r="I27" i="4" s="1" a="1"/>
  <c r="I27" i="4" s="1"/>
  <c r="A28" i="4"/>
  <c r="A29" i="4"/>
  <c r="I29" i="4" s="1" a="1"/>
  <c r="I29" i="4" s="1"/>
  <c r="A30" i="4"/>
  <c r="I30" i="4" s="1" a="1"/>
  <c r="I30" i="4" s="1"/>
  <c r="A31" i="4"/>
  <c r="A32" i="4"/>
  <c r="I32" i="4" s="1" a="1"/>
  <c r="I32" i="4" s="1"/>
  <c r="A33" i="4"/>
  <c r="I33" i="4" s="1" a="1"/>
  <c r="I33" i="4" s="1"/>
  <c r="A34" i="4"/>
  <c r="A35" i="4"/>
  <c r="I35" i="4" s="1" a="1"/>
  <c r="I35" i="4" s="1"/>
  <c r="A36" i="4"/>
  <c r="I36" i="4" s="1" a="1"/>
  <c r="I36" i="4" s="1"/>
  <c r="A37" i="4"/>
  <c r="A38" i="4"/>
  <c r="I38" i="4" s="1" a="1"/>
  <c r="I38" i="4" s="1"/>
  <c r="A39" i="4"/>
  <c r="I39" i="4" s="1" a="1"/>
  <c r="I39" i="4" s="1"/>
  <c r="A40" i="4"/>
  <c r="A41" i="4"/>
  <c r="F41" i="4" s="1"/>
  <c r="A42" i="4"/>
  <c r="I42" i="4" s="1" a="1"/>
  <c r="I42" i="4" s="1"/>
  <c r="A43" i="4"/>
  <c r="A44" i="4"/>
  <c r="F44" i="4" s="1"/>
  <c r="A45" i="4"/>
  <c r="I45" i="4" s="1" a="1"/>
  <c r="I45" i="4" s="1"/>
  <c r="A46" i="4"/>
  <c r="A47" i="4"/>
  <c r="F47" i="4" s="1"/>
  <c r="A48" i="4"/>
  <c r="I48" i="4" s="1" a="1"/>
  <c r="I48" i="4" s="1"/>
  <c r="A49" i="4"/>
  <c r="A50" i="4"/>
  <c r="F50" i="4" s="1"/>
  <c r="A51" i="4"/>
  <c r="I51" i="4" s="1" a="1"/>
  <c r="I51" i="4" s="1"/>
  <c r="A52" i="4"/>
  <c r="A53" i="4"/>
  <c r="F53" i="4" s="1"/>
  <c r="A54" i="4"/>
  <c r="I54" i="4" s="1" a="1"/>
  <c r="I54" i="4" s="1"/>
  <c r="A55" i="4"/>
  <c r="A56" i="4"/>
  <c r="F56" i="4" s="1"/>
  <c r="A57" i="4"/>
  <c r="I57" i="4" s="1" a="1"/>
  <c r="I57" i="4" s="1"/>
  <c r="A58" i="4"/>
  <c r="A59" i="4"/>
  <c r="I59" i="4" s="1" a="1"/>
  <c r="I59" i="4" s="1"/>
  <c r="A60" i="4"/>
  <c r="I60" i="4" s="1" a="1"/>
  <c r="I60" i="4" s="1"/>
  <c r="A61" i="4"/>
  <c r="A62" i="4"/>
  <c r="F62" i="4" s="1"/>
  <c r="A63" i="4"/>
  <c r="I63" i="4" s="1" a="1"/>
  <c r="I63" i="4" s="1"/>
  <c r="A64" i="4"/>
  <c r="A65" i="4"/>
  <c r="F65" i="4" s="1"/>
  <c r="A66" i="4"/>
  <c r="I66" i="4" s="1" a="1"/>
  <c r="I66" i="4" s="1"/>
  <c r="A67" i="4"/>
  <c r="A68" i="4"/>
  <c r="F68" i="4" s="1"/>
  <c r="A69" i="4"/>
  <c r="I69" i="4" s="1" a="1"/>
  <c r="I69" i="4" s="1"/>
  <c r="A70" i="4"/>
  <c r="A71" i="4"/>
  <c r="F71" i="4" s="1"/>
  <c r="A72" i="4"/>
  <c r="O72" i="4" s="1"/>
  <c r="A73" i="4"/>
  <c r="A74" i="4"/>
  <c r="F74" i="4" s="1"/>
  <c r="A75" i="4"/>
  <c r="O75" i="4" s="1"/>
  <c r="A76" i="4"/>
  <c r="A77" i="4"/>
  <c r="F77" i="4" s="1"/>
  <c r="A78" i="4"/>
  <c r="I78" i="4" s="1" a="1"/>
  <c r="I78" i="4" s="1"/>
  <c r="A79" i="4"/>
  <c r="F79" i="4" s="1"/>
  <c r="A80" i="4"/>
  <c r="I80" i="4" s="1" a="1"/>
  <c r="I80" i="4" s="1"/>
  <c r="A81" i="4"/>
  <c r="F81" i="4" s="1"/>
  <c r="A82" i="4"/>
  <c r="A83" i="4"/>
  <c r="F83" i="4" s="1"/>
  <c r="A84" i="4"/>
  <c r="F84" i="4" s="1"/>
  <c r="A85" i="4"/>
  <c r="O85" i="4" s="1"/>
  <c r="A86" i="4"/>
  <c r="F86" i="4" s="1"/>
  <c r="A87" i="4"/>
  <c r="A88" i="4"/>
  <c r="F88" i="4" s="1"/>
  <c r="A89" i="4"/>
  <c r="F89" i="4" s="1"/>
  <c r="A90" i="4"/>
  <c r="A91" i="4"/>
  <c r="A92" i="4"/>
  <c r="I92" i="4" s="1" a="1"/>
  <c r="I92" i="4" s="1"/>
  <c r="A93" i="4"/>
  <c r="C93" i="4" s="1"/>
  <c r="D93" i="4" s="1"/>
  <c r="G93" i="4" s="1" a="1"/>
  <c r="G93" i="4" s="1"/>
  <c r="A94" i="4"/>
  <c r="O94" i="4" s="1"/>
  <c r="A95" i="4"/>
  <c r="I95" i="4" s="1" a="1"/>
  <c r="I95" i="4" s="1"/>
  <c r="A96" i="4"/>
  <c r="F96" i="4" s="1"/>
  <c r="A97" i="4"/>
  <c r="F97" i="4" s="1"/>
  <c r="A98" i="4"/>
  <c r="O98" i="4" s="1"/>
  <c r="A99" i="4"/>
  <c r="O99" i="4" s="1"/>
  <c r="A100" i="4"/>
  <c r="O100" i="4" s="1"/>
  <c r="A101" i="4"/>
  <c r="I101" i="4" s="1" a="1"/>
  <c r="I101" i="4" s="1"/>
  <c r="A102" i="4"/>
  <c r="A103" i="4"/>
  <c r="F103" i="4" s="1"/>
  <c r="A104" i="4"/>
  <c r="F104" i="4" s="1"/>
  <c r="A105" i="4"/>
  <c r="O105" i="4" s="1"/>
  <c r="A106" i="4"/>
  <c r="O106" i="4" s="1"/>
  <c r="A107" i="4"/>
  <c r="A108" i="4"/>
  <c r="F108" i="4" s="1"/>
  <c r="A109" i="4"/>
  <c r="F109" i="4" s="1"/>
  <c r="A110" i="4"/>
  <c r="F110" i="4" s="1"/>
  <c r="A111" i="4"/>
  <c r="C111" i="4" s="1"/>
  <c r="D111" i="4" s="1"/>
  <c r="G111" i="4" s="1" a="1"/>
  <c r="G111" i="4" s="1"/>
  <c r="A112" i="4"/>
  <c r="F112" i="4" s="1"/>
  <c r="A113" i="4"/>
  <c r="O113" i="4" s="1"/>
  <c r="A114" i="4"/>
  <c r="O114" i="4" s="1"/>
  <c r="A115" i="4"/>
  <c r="O115" i="4" s="1"/>
  <c r="A2" i="4"/>
  <c r="C2" i="4" s="1"/>
  <c r="F2" i="4"/>
  <c r="F100" i="4"/>
  <c r="F98" i="4"/>
  <c r="O91" i="4"/>
  <c r="F91" i="4"/>
  <c r="F85" i="4"/>
  <c r="I83" i="4" a="1"/>
  <c r="I83" i="4" s="1"/>
  <c r="O82" i="4"/>
  <c r="F82" i="4"/>
  <c r="O80" i="4"/>
  <c r="O79" i="4"/>
  <c r="O76" i="4"/>
  <c r="F76" i="4"/>
  <c r="O73" i="4"/>
  <c r="F73" i="4"/>
  <c r="O70" i="4"/>
  <c r="I70" i="4" a="1"/>
  <c r="I70" i="4" s="1"/>
  <c r="F70" i="4"/>
  <c r="C70" i="4"/>
  <c r="O67" i="4"/>
  <c r="I67" i="4" a="1"/>
  <c r="I67" i="4" s="1"/>
  <c r="F67" i="4"/>
  <c r="C67" i="4"/>
  <c r="O64" i="4"/>
  <c r="I64" i="4" a="1"/>
  <c r="I64" i="4" s="1"/>
  <c r="F64" i="4"/>
  <c r="C64" i="4"/>
  <c r="D64" i="4" s="1"/>
  <c r="G64" i="4" s="1" a="1"/>
  <c r="G64" i="4" s="1"/>
  <c r="O61" i="4"/>
  <c r="I61" i="4" a="1"/>
  <c r="I61" i="4" s="1"/>
  <c r="F61" i="4"/>
  <c r="C61" i="4"/>
  <c r="D61" i="4" s="1"/>
  <c r="G61" i="4" s="1" a="1"/>
  <c r="G61" i="4" s="1"/>
  <c r="O58" i="4"/>
  <c r="I58" i="4" a="1"/>
  <c r="I58" i="4" s="1"/>
  <c r="F58" i="4"/>
  <c r="C58" i="4"/>
  <c r="I56" i="4" a="1"/>
  <c r="I56" i="4" s="1"/>
  <c r="O55" i="4"/>
  <c r="I55" i="4" a="1"/>
  <c r="I55" i="4" s="1"/>
  <c r="F55" i="4"/>
  <c r="C55" i="4"/>
  <c r="O52" i="4"/>
  <c r="I52" i="4" a="1"/>
  <c r="I52" i="4" s="1"/>
  <c r="F52" i="4"/>
  <c r="C52" i="4"/>
  <c r="D52" i="4" s="1"/>
  <c r="G52" i="4" s="1" a="1"/>
  <c r="G52" i="4" s="1"/>
  <c r="I50" i="4" a="1"/>
  <c r="I50" i="4" s="1"/>
  <c r="O49" i="4"/>
  <c r="I49" i="4" a="1"/>
  <c r="I49" i="4" s="1"/>
  <c r="F49" i="4"/>
  <c r="C49" i="4"/>
  <c r="D49" i="4" s="1"/>
  <c r="G49" i="4" s="1" a="1"/>
  <c r="G49" i="4" s="1"/>
  <c r="I47" i="4" a="1"/>
  <c r="I47" i="4" s="1"/>
  <c r="O46" i="4"/>
  <c r="I46" i="4" a="1"/>
  <c r="I46" i="4" s="1"/>
  <c r="F46" i="4"/>
  <c r="C46" i="4"/>
  <c r="O43" i="4"/>
  <c r="I43" i="4" a="1"/>
  <c r="I43" i="4" s="1"/>
  <c r="F43" i="4"/>
  <c r="C43" i="4"/>
  <c r="I41" i="4" a="1"/>
  <c r="I41" i="4" s="1"/>
  <c r="O40" i="4"/>
  <c r="I40" i="4" a="1"/>
  <c r="I40" i="4" s="1"/>
  <c r="F40" i="4"/>
  <c r="C40" i="4"/>
  <c r="D40" i="4" s="1"/>
  <c r="G40" i="4" s="1" a="1"/>
  <c r="G40" i="4" s="1"/>
  <c r="H40" i="4" s="1" a="1"/>
  <c r="H40" i="4" s="1"/>
  <c r="K40" i="4" s="1"/>
  <c r="N40" i="4" s="1"/>
  <c r="O37" i="4"/>
  <c r="I37" i="4" a="1"/>
  <c r="I37" i="4" s="1"/>
  <c r="F37" i="4"/>
  <c r="C37" i="4"/>
  <c r="D37" i="4" s="1"/>
  <c r="G37" i="4" s="1" a="1"/>
  <c r="G37" i="4" s="1"/>
  <c r="H37" i="4" s="1" a="1"/>
  <c r="H37" i="4" s="1"/>
  <c r="F35" i="4"/>
  <c r="O34" i="4"/>
  <c r="I34" i="4" a="1"/>
  <c r="I34" i="4" s="1"/>
  <c r="F34" i="4"/>
  <c r="C34" i="4"/>
  <c r="O31" i="4"/>
  <c r="I31" i="4" a="1"/>
  <c r="I31" i="4" s="1"/>
  <c r="F31" i="4"/>
  <c r="C31" i="4"/>
  <c r="D31" i="4" s="1"/>
  <c r="G31" i="4" s="1" a="1"/>
  <c r="G31" i="4" s="1"/>
  <c r="F29" i="4"/>
  <c r="O28" i="4"/>
  <c r="I28" i="4" a="1"/>
  <c r="I28" i="4" s="1"/>
  <c r="F28" i="4"/>
  <c r="C28" i="4"/>
  <c r="D28" i="4" s="1"/>
  <c r="G28" i="4" s="1" a="1"/>
  <c r="G28" i="4" s="1"/>
  <c r="H28" i="4" s="1" a="1"/>
  <c r="H28" i="4" s="1"/>
  <c r="O25" i="4"/>
  <c r="I25" i="4" a="1"/>
  <c r="I25" i="4" s="1"/>
  <c r="F25" i="4"/>
  <c r="C25" i="4"/>
  <c r="D25" i="4" s="1"/>
  <c r="G25" i="4" s="1" a="1"/>
  <c r="G25" i="4" s="1"/>
  <c r="H25" i="4" s="1" a="1"/>
  <c r="H25" i="4" s="1"/>
  <c r="L25" i="4" s="1"/>
  <c r="O24" i="4"/>
  <c r="F23" i="4"/>
  <c r="O22" i="4"/>
  <c r="I22" i="4" a="1"/>
  <c r="I22" i="4" s="1"/>
  <c r="F22" i="4"/>
  <c r="C22" i="4"/>
  <c r="C21" i="4"/>
  <c r="D21" i="4" s="1"/>
  <c r="G21" i="4" s="1" a="1"/>
  <c r="G21" i="4" s="1"/>
  <c r="H21" i="4" s="1" a="1"/>
  <c r="H21" i="4" s="1"/>
  <c r="K21" i="4" s="1"/>
  <c r="N21" i="4" s="1"/>
  <c r="F20" i="4"/>
  <c r="O19" i="4"/>
  <c r="I19" i="4" a="1"/>
  <c r="I19" i="4" s="1"/>
  <c r="F19" i="4"/>
  <c r="C19" i="4"/>
  <c r="F18" i="4"/>
  <c r="C18" i="4"/>
  <c r="D18" i="4" s="1"/>
  <c r="G18" i="4" s="1" a="1"/>
  <c r="G18" i="4" s="1"/>
  <c r="H18" i="4" s="1" a="1"/>
  <c r="H18" i="4" s="1"/>
  <c r="I17" i="4" a="1"/>
  <c r="I17" i="4" s="1"/>
  <c r="F17" i="4"/>
  <c r="O16" i="4"/>
  <c r="I16" i="4" a="1"/>
  <c r="I16" i="4" s="1"/>
  <c r="F16" i="4"/>
  <c r="C16" i="4"/>
  <c r="D16" i="4" s="1"/>
  <c r="G16" i="4" s="1" a="1"/>
  <c r="G16" i="4" s="1"/>
  <c r="H16" i="4" s="1" a="1"/>
  <c r="H16" i="4" s="1"/>
  <c r="O15" i="4"/>
  <c r="F15" i="4"/>
  <c r="C15" i="4"/>
  <c r="I14" i="4" a="1"/>
  <c r="I14" i="4" s="1"/>
  <c r="C14" i="4"/>
  <c r="O13" i="4"/>
  <c r="I13" i="4" a="1"/>
  <c r="I13" i="4" s="1"/>
  <c r="C13" i="4"/>
  <c r="D13" i="4" s="1"/>
  <c r="G13" i="4" s="1" a="1"/>
  <c r="G13" i="4" s="1"/>
  <c r="I12" i="4" a="1"/>
  <c r="I12" i="4" s="1"/>
  <c r="C12" i="4"/>
  <c r="D12" i="4" s="1"/>
  <c r="G12" i="4" s="1" a="1"/>
  <c r="G12" i="4" s="1"/>
  <c r="H12" i="4" s="1" a="1"/>
  <c r="H12" i="4" s="1"/>
  <c r="I11" i="4" a="1"/>
  <c r="I11" i="4" s="1"/>
  <c r="C11" i="4"/>
  <c r="O10" i="4"/>
  <c r="I10" i="4" a="1"/>
  <c r="I10" i="4" s="1"/>
  <c r="C10" i="4"/>
  <c r="I9" i="4" a="1"/>
  <c r="I9" i="4" s="1"/>
  <c r="C9" i="4"/>
  <c r="I8" i="4" a="1"/>
  <c r="I8" i="4" s="1"/>
  <c r="C8" i="4"/>
  <c r="O7" i="4"/>
  <c r="I7" i="4" a="1"/>
  <c r="I7" i="4" s="1"/>
  <c r="C7" i="4"/>
  <c r="I6" i="4" a="1"/>
  <c r="I6" i="4" s="1"/>
  <c r="C6" i="4"/>
  <c r="D6" i="4" s="1"/>
  <c r="G6" i="4" s="1" a="1"/>
  <c r="G6" i="4" s="1"/>
  <c r="H6" i="4" s="1" a="1"/>
  <c r="H6" i="4" s="1"/>
  <c r="I5" i="4" a="1"/>
  <c r="I5" i="4" s="1"/>
  <c r="C5" i="4"/>
  <c r="O4" i="4"/>
  <c r="I4" i="4" a="1"/>
  <c r="I4" i="4" s="1"/>
  <c r="C4" i="4"/>
  <c r="D4" i="4" s="1"/>
  <c r="G4" i="4" s="1" a="1"/>
  <c r="G4" i="4" s="1"/>
  <c r="I3" i="4" a="1"/>
  <c r="I3" i="4" s="1"/>
  <c r="C3" i="4"/>
  <c r="O45" i="4" l="1"/>
  <c r="I53" i="4" a="1"/>
  <c r="I53" i="4" s="1"/>
  <c r="I44" i="4" a="1"/>
  <c r="I44" i="4" s="1"/>
  <c r="F59" i="4"/>
  <c r="I65" i="4" a="1"/>
  <c r="I65" i="4" s="1"/>
  <c r="I71" i="4" a="1"/>
  <c r="I71" i="4" s="1"/>
  <c r="C74" i="4"/>
  <c r="D74" i="4" s="1"/>
  <c r="G74" i="4" s="1" a="1"/>
  <c r="G74" i="4" s="1"/>
  <c r="H74" i="4" s="1" a="1"/>
  <c r="H74" i="4" s="1"/>
  <c r="K74" i="4" s="1"/>
  <c r="N74" i="4" s="1"/>
  <c r="O86" i="4"/>
  <c r="C95" i="4"/>
  <c r="D95" i="4" s="1"/>
  <c r="G95" i="4" s="1" a="1"/>
  <c r="G95" i="4" s="1"/>
  <c r="H95" i="4" s="1" a="1"/>
  <c r="H95" i="4" s="1"/>
  <c r="M95" i="4" s="1"/>
  <c r="I108" i="4" a="1"/>
  <c r="I108" i="4" s="1"/>
  <c r="F21" i="4"/>
  <c r="C24" i="4"/>
  <c r="D24" i="4" s="1"/>
  <c r="G24" i="4" s="1" a="1"/>
  <c r="G24" i="4" s="1"/>
  <c r="H24" i="4" s="1" a="1"/>
  <c r="H24" i="4" s="1"/>
  <c r="L24" i="4" s="1"/>
  <c r="F26" i="4"/>
  <c r="C33" i="4"/>
  <c r="D33" i="4" s="1"/>
  <c r="G33" i="4" s="1" a="1"/>
  <c r="G33" i="4" s="1"/>
  <c r="H33" i="4" s="1" a="1"/>
  <c r="H33" i="4" s="1"/>
  <c r="M33" i="4" s="1"/>
  <c r="C30" i="4"/>
  <c r="O33" i="4"/>
  <c r="O18" i="4"/>
  <c r="O21" i="4"/>
  <c r="O27" i="4"/>
  <c r="F32" i="4"/>
  <c r="F38" i="4"/>
  <c r="H61" i="4" a="1"/>
  <c r="H61" i="4" s="1"/>
  <c r="L61" i="4" s="1"/>
  <c r="H52" i="4" a="1"/>
  <c r="H52" i="4" s="1"/>
  <c r="K52" i="4" s="1"/>
  <c r="N52" i="4" s="1"/>
  <c r="H4" i="4" a="1"/>
  <c r="H4" i="4" s="1"/>
  <c r="L4" i="4" s="1"/>
  <c r="H13" i="4" a="1"/>
  <c r="H13" i="4" s="1"/>
  <c r="M13" i="4" s="1"/>
  <c r="H31" i="4" a="1"/>
  <c r="H31" i="4" s="1"/>
  <c r="L31" i="4" s="1"/>
  <c r="O39" i="4"/>
  <c r="H49" i="4" a="1"/>
  <c r="H49" i="4" s="1"/>
  <c r="K49" i="4" s="1"/>
  <c r="N49" i="4" s="1"/>
  <c r="H64" i="4" a="1"/>
  <c r="H64" i="4" s="1"/>
  <c r="K64" i="4" s="1"/>
  <c r="N64" i="4" s="1"/>
  <c r="H93" i="4" a="1"/>
  <c r="H93" i="4" s="1"/>
  <c r="L93" i="4" s="1"/>
  <c r="C27" i="4"/>
  <c r="D27" i="4" s="1"/>
  <c r="G27" i="4" s="1" a="1"/>
  <c r="G27" i="4" s="1"/>
  <c r="H27" i="4" s="1" a="1"/>
  <c r="H27" i="4" s="1"/>
  <c r="M27" i="4" s="1"/>
  <c r="O30" i="4"/>
  <c r="O36" i="4"/>
  <c r="I68" i="4" a="1"/>
  <c r="I68" i="4" s="1"/>
  <c r="O74" i="4"/>
  <c r="C77" i="4"/>
  <c r="D77" i="4" s="1"/>
  <c r="G77" i="4" s="1" a="1"/>
  <c r="G77" i="4" s="1"/>
  <c r="H77" i="4" s="1" a="1"/>
  <c r="H77" i="4" s="1"/>
  <c r="C60" i="4"/>
  <c r="O78" i="4"/>
  <c r="C36" i="4"/>
  <c r="D36" i="4" s="1"/>
  <c r="G36" i="4" s="1" a="1"/>
  <c r="G36" i="4" s="1"/>
  <c r="H36" i="4" s="1" a="1"/>
  <c r="H36" i="4" s="1"/>
  <c r="L36" i="4" s="1"/>
  <c r="C42" i="4"/>
  <c r="D42" i="4" s="1"/>
  <c r="G42" i="4" s="1" a="1"/>
  <c r="G42" i="4" s="1"/>
  <c r="H42" i="4" s="1" a="1"/>
  <c r="H42" i="4" s="1"/>
  <c r="M42" i="4" s="1"/>
  <c r="I62" i="4" a="1"/>
  <c r="I62" i="4" s="1"/>
  <c r="I77" i="4" a="1"/>
  <c r="I77" i="4" s="1"/>
  <c r="F80" i="4"/>
  <c r="C86" i="4"/>
  <c r="D86" i="4" s="1"/>
  <c r="G86" i="4" s="1" a="1"/>
  <c r="G86" i="4" s="1"/>
  <c r="H86" i="4" s="1" a="1"/>
  <c r="H86" i="4" s="1"/>
  <c r="C51" i="4"/>
  <c r="D51" i="4" s="1"/>
  <c r="G51" i="4" s="1" a="1"/>
  <c r="G51" i="4" s="1"/>
  <c r="H51" i="4" s="1" a="1"/>
  <c r="H51" i="4" s="1"/>
  <c r="C69" i="4"/>
  <c r="C39" i="4"/>
  <c r="D39" i="4" s="1"/>
  <c r="G39" i="4" s="1" a="1"/>
  <c r="G39" i="4" s="1"/>
  <c r="H39" i="4" s="1" a="1"/>
  <c r="H39" i="4" s="1"/>
  <c r="K39" i="4" s="1"/>
  <c r="N39" i="4" s="1"/>
  <c r="O42" i="4"/>
  <c r="O54" i="4"/>
  <c r="I74" i="4" a="1"/>
  <c r="I74" i="4" s="1"/>
  <c r="O77" i="4"/>
  <c r="C80" i="4"/>
  <c r="D80" i="4" s="1"/>
  <c r="G80" i="4" s="1" a="1"/>
  <c r="G80" i="4" s="1"/>
  <c r="H80" i="4" s="1" a="1"/>
  <c r="H80" i="4" s="1"/>
  <c r="O89" i="4"/>
  <c r="C48" i="4"/>
  <c r="O51" i="4"/>
  <c r="C57" i="4"/>
  <c r="D57" i="4" s="1"/>
  <c r="G57" i="4" s="1" a="1"/>
  <c r="G57" i="4" s="1"/>
  <c r="H57" i="4" s="1" a="1"/>
  <c r="H57" i="4" s="1"/>
  <c r="K57" i="4" s="1"/>
  <c r="N57" i="4" s="1"/>
  <c r="C63" i="4"/>
  <c r="D63" i="4" s="1"/>
  <c r="G63" i="4" s="1" a="1"/>
  <c r="G63" i="4" s="1"/>
  <c r="H63" i="4" s="1" a="1"/>
  <c r="H63" i="4" s="1"/>
  <c r="L63" i="4" s="1"/>
  <c r="F72" i="4"/>
  <c r="C45" i="4"/>
  <c r="D45" i="4" s="1"/>
  <c r="G45" i="4" s="1" a="1"/>
  <c r="G45" i="4" s="1"/>
  <c r="H45" i="4" s="1" a="1"/>
  <c r="H45" i="4" s="1"/>
  <c r="L45" i="4" s="1"/>
  <c r="O48" i="4"/>
  <c r="C54" i="4"/>
  <c r="D54" i="4" s="1"/>
  <c r="G54" i="4" s="1" a="1"/>
  <c r="G54" i="4" s="1"/>
  <c r="H54" i="4" s="1" a="1"/>
  <c r="H54" i="4" s="1"/>
  <c r="O57" i="4"/>
  <c r="C66" i="4"/>
  <c r="D66" i="4" s="1"/>
  <c r="G66" i="4" s="1" a="1"/>
  <c r="G66" i="4" s="1"/>
  <c r="H66" i="4" s="1" a="1"/>
  <c r="H66" i="4" s="1"/>
  <c r="K66" i="4" s="1"/>
  <c r="N66" i="4" s="1"/>
  <c r="I89" i="4" a="1"/>
  <c r="I89" i="4" s="1"/>
  <c r="O101" i="4"/>
  <c r="O60" i="4"/>
  <c r="O63" i="4"/>
  <c r="O66" i="4"/>
  <c r="O69" i="4"/>
  <c r="I86" i="4" a="1"/>
  <c r="I86" i="4" s="1"/>
  <c r="C89" i="4"/>
  <c r="D89" i="4" s="1"/>
  <c r="G89" i="4" s="1" a="1"/>
  <c r="G89" i="4" s="1"/>
  <c r="H89" i="4" s="1" a="1"/>
  <c r="H89" i="4" s="1"/>
  <c r="O96" i="4"/>
  <c r="C101" i="4"/>
  <c r="D101" i="4" s="1"/>
  <c r="G101" i="4" s="1" a="1"/>
  <c r="G101" i="4" s="1"/>
  <c r="H101" i="4" s="1" a="1"/>
  <c r="H101" i="4" s="1"/>
  <c r="L101" i="4" s="1"/>
  <c r="F105" i="4"/>
  <c r="O102" i="4"/>
  <c r="F102" i="4"/>
  <c r="I93" i="4" a="1"/>
  <c r="I93" i="4" s="1"/>
  <c r="O93" i="4"/>
  <c r="O90" i="4"/>
  <c r="F90" i="4"/>
  <c r="F87" i="4"/>
  <c r="I87" i="4" a="1"/>
  <c r="I87" i="4" s="1"/>
  <c r="I84" i="4" a="1"/>
  <c r="I84" i="4" s="1"/>
  <c r="O84" i="4"/>
  <c r="O81" i="4"/>
  <c r="I81" i="4" a="1"/>
  <c r="I81" i="4" s="1"/>
  <c r="F78" i="4"/>
  <c r="C78" i="4"/>
  <c r="D78" i="4" s="1"/>
  <c r="G78" i="4" s="1" a="1"/>
  <c r="G78" i="4" s="1"/>
  <c r="H78" i="4" s="1" a="1"/>
  <c r="H78" i="4" s="1"/>
  <c r="I75" i="4" a="1"/>
  <c r="I75" i="4" s="1"/>
  <c r="C75" i="4"/>
  <c r="D75" i="4" s="1"/>
  <c r="G75" i="4" s="1" a="1"/>
  <c r="G75" i="4" s="1"/>
  <c r="H75" i="4" s="1" a="1"/>
  <c r="H75" i="4" s="1"/>
  <c r="F12" i="4"/>
  <c r="O12" i="4"/>
  <c r="F9" i="4"/>
  <c r="E9" i="4" s="1"/>
  <c r="O9" i="4"/>
  <c r="F6" i="4"/>
  <c r="E6" i="4" s="1"/>
  <c r="O6" i="4"/>
  <c r="F3" i="4"/>
  <c r="E3" i="4" s="1"/>
  <c r="O3" i="4"/>
  <c r="F24" i="4"/>
  <c r="E24" i="4" s="1"/>
  <c r="F27" i="4"/>
  <c r="F30" i="4"/>
  <c r="F33" i="4"/>
  <c r="F36" i="4"/>
  <c r="F39" i="4"/>
  <c r="F42" i="4"/>
  <c r="F45" i="4"/>
  <c r="F48" i="4"/>
  <c r="F51" i="4"/>
  <c r="E51" i="4" s="1"/>
  <c r="F54" i="4"/>
  <c r="F57" i="4"/>
  <c r="E57" i="4" s="1"/>
  <c r="F60" i="4"/>
  <c r="F63" i="4"/>
  <c r="F66" i="4"/>
  <c r="F69" i="4"/>
  <c r="I72" i="4" a="1"/>
  <c r="I72" i="4" s="1"/>
  <c r="F75" i="4"/>
  <c r="C84" i="4"/>
  <c r="D84" i="4" s="1"/>
  <c r="G84" i="4" s="1" a="1"/>
  <c r="G84" i="4" s="1"/>
  <c r="H84" i="4" s="1" a="1"/>
  <c r="H84" i="4" s="1"/>
  <c r="K84" i="4" s="1"/>
  <c r="N84" i="4" s="1"/>
  <c r="O87" i="4"/>
  <c r="I102" i="4" a="1"/>
  <c r="I102" i="4" s="1"/>
  <c r="I107" i="4" a="1"/>
  <c r="I107" i="4" s="1"/>
  <c r="C107" i="4"/>
  <c r="D107" i="4" s="1"/>
  <c r="G107" i="4" s="1" a="1"/>
  <c r="G107" i="4" s="1"/>
  <c r="H107" i="4" s="1" a="1"/>
  <c r="H107" i="4" s="1"/>
  <c r="F95" i="4"/>
  <c r="O95" i="4"/>
  <c r="O92" i="4"/>
  <c r="F92" i="4"/>
  <c r="O83" i="4"/>
  <c r="C83" i="4"/>
  <c r="D83" i="4" s="1"/>
  <c r="G83" i="4" s="1" a="1"/>
  <c r="G83" i="4" s="1"/>
  <c r="H83" i="4" s="1" a="1"/>
  <c r="H83" i="4" s="1"/>
  <c r="O71" i="4"/>
  <c r="C71" i="4"/>
  <c r="O68" i="4"/>
  <c r="C68" i="4"/>
  <c r="D68" i="4" s="1"/>
  <c r="G68" i="4" s="1" a="1"/>
  <c r="G68" i="4" s="1"/>
  <c r="H68" i="4" s="1" a="1"/>
  <c r="H68" i="4" s="1"/>
  <c r="M68" i="4" s="1"/>
  <c r="O65" i="4"/>
  <c r="C65" i="4"/>
  <c r="D65" i="4" s="1"/>
  <c r="G65" i="4" s="1" a="1"/>
  <c r="G65" i="4" s="1"/>
  <c r="H65" i="4" s="1" a="1"/>
  <c r="H65" i="4" s="1"/>
  <c r="O62" i="4"/>
  <c r="C62" i="4"/>
  <c r="D62" i="4" s="1"/>
  <c r="G62" i="4" s="1" a="1"/>
  <c r="G62" i="4" s="1"/>
  <c r="H62" i="4" s="1" a="1"/>
  <c r="H62" i="4" s="1"/>
  <c r="O59" i="4"/>
  <c r="C59" i="4"/>
  <c r="D59" i="4" s="1"/>
  <c r="G59" i="4" s="1" a="1"/>
  <c r="G59" i="4" s="1"/>
  <c r="H59" i="4" s="1" a="1"/>
  <c r="H59" i="4" s="1"/>
  <c r="M59" i="4" s="1"/>
  <c r="O56" i="4"/>
  <c r="C56" i="4"/>
  <c r="D56" i="4" s="1"/>
  <c r="G56" i="4" s="1" a="1"/>
  <c r="G56" i="4" s="1"/>
  <c r="H56" i="4" s="1" a="1"/>
  <c r="H56" i="4" s="1"/>
  <c r="O53" i="4"/>
  <c r="C53" i="4"/>
  <c r="D53" i="4" s="1"/>
  <c r="G53" i="4" s="1" a="1"/>
  <c r="G53" i="4" s="1"/>
  <c r="H53" i="4" s="1" a="1"/>
  <c r="H53" i="4" s="1"/>
  <c r="O50" i="4"/>
  <c r="C50" i="4"/>
  <c r="D50" i="4" s="1"/>
  <c r="G50" i="4" s="1" a="1"/>
  <c r="G50" i="4" s="1"/>
  <c r="H50" i="4" s="1" a="1"/>
  <c r="H50" i="4" s="1"/>
  <c r="M50" i="4" s="1"/>
  <c r="O47" i="4"/>
  <c r="C47" i="4"/>
  <c r="D47" i="4" s="1"/>
  <c r="G47" i="4" s="1" a="1"/>
  <c r="G47" i="4" s="1"/>
  <c r="H47" i="4" s="1" a="1"/>
  <c r="H47" i="4" s="1"/>
  <c r="O44" i="4"/>
  <c r="C44" i="4"/>
  <c r="D44" i="4" s="1"/>
  <c r="G44" i="4" s="1" a="1"/>
  <c r="G44" i="4" s="1"/>
  <c r="H44" i="4" s="1" a="1"/>
  <c r="H44" i="4" s="1"/>
  <c r="L44" i="4" s="1"/>
  <c r="O41" i="4"/>
  <c r="C41" i="4"/>
  <c r="D41" i="4" s="1"/>
  <c r="G41" i="4" s="1" a="1"/>
  <c r="G41" i="4" s="1"/>
  <c r="H41" i="4" s="1" a="1"/>
  <c r="H41" i="4" s="1"/>
  <c r="O38" i="4"/>
  <c r="C38" i="4"/>
  <c r="D38" i="4" s="1"/>
  <c r="G38" i="4" s="1" a="1"/>
  <c r="G38" i="4" s="1"/>
  <c r="H38" i="4" s="1" a="1"/>
  <c r="H38" i="4" s="1"/>
  <c r="O35" i="4"/>
  <c r="C35" i="4"/>
  <c r="D35" i="4" s="1"/>
  <c r="G35" i="4" s="1" a="1"/>
  <c r="G35" i="4" s="1"/>
  <c r="H35" i="4" s="1" a="1"/>
  <c r="H35" i="4" s="1"/>
  <c r="K35" i="4" s="1"/>
  <c r="N35" i="4" s="1"/>
  <c r="O32" i="4"/>
  <c r="C32" i="4"/>
  <c r="D32" i="4" s="1"/>
  <c r="G32" i="4" s="1" a="1"/>
  <c r="G32" i="4" s="1"/>
  <c r="H32" i="4" s="1" a="1"/>
  <c r="H32" i="4" s="1"/>
  <c r="O29" i="4"/>
  <c r="C29" i="4"/>
  <c r="D29" i="4" s="1"/>
  <c r="G29" i="4" s="1" a="1"/>
  <c r="G29" i="4" s="1"/>
  <c r="H29" i="4" s="1" a="1"/>
  <c r="H29" i="4" s="1"/>
  <c r="L29" i="4" s="1"/>
  <c r="O26" i="4"/>
  <c r="C26" i="4"/>
  <c r="D26" i="4" s="1"/>
  <c r="G26" i="4" s="1" a="1"/>
  <c r="G26" i="4" s="1"/>
  <c r="H26" i="4" s="1" a="1"/>
  <c r="H26" i="4" s="1"/>
  <c r="O23" i="4"/>
  <c r="C23" i="4"/>
  <c r="D23" i="4" s="1"/>
  <c r="G23" i="4" s="1" a="1"/>
  <c r="G23" i="4" s="1"/>
  <c r="H23" i="4" s="1" a="1"/>
  <c r="H23" i="4" s="1"/>
  <c r="K23" i="4" s="1"/>
  <c r="N23" i="4" s="1"/>
  <c r="O20" i="4"/>
  <c r="C20" i="4"/>
  <c r="D20" i="4" s="1"/>
  <c r="G20" i="4" s="1" a="1"/>
  <c r="G20" i="4" s="1"/>
  <c r="H20" i="4" s="1" a="1"/>
  <c r="H20" i="4" s="1"/>
  <c r="O17" i="4"/>
  <c r="C17" i="4"/>
  <c r="D17" i="4" s="1"/>
  <c r="G17" i="4" s="1" a="1"/>
  <c r="G17" i="4" s="1"/>
  <c r="H17" i="4" s="1" a="1"/>
  <c r="H17" i="4" s="1"/>
  <c r="F14" i="4"/>
  <c r="O14" i="4"/>
  <c r="F11" i="4"/>
  <c r="E11" i="4" s="1"/>
  <c r="O11" i="4"/>
  <c r="F8" i="4"/>
  <c r="O8" i="4"/>
  <c r="F5" i="4"/>
  <c r="O5" i="4"/>
  <c r="I96" i="4" a="1"/>
  <c r="I96" i="4" s="1"/>
  <c r="F99" i="4"/>
  <c r="I104" i="4" a="1"/>
  <c r="I104" i="4" s="1"/>
  <c r="C108" i="4"/>
  <c r="D108" i="4" s="1"/>
  <c r="G108" i="4" s="1" a="1"/>
  <c r="G108" i="4" s="1"/>
  <c r="H108" i="4" s="1" a="1"/>
  <c r="H108" i="4" s="1"/>
  <c r="O107" i="4"/>
  <c r="I110" i="4" a="1"/>
  <c r="I110" i="4" s="1"/>
  <c r="F94" i="4"/>
  <c r="F106" i="4"/>
  <c r="F113" i="4"/>
  <c r="C87" i="4"/>
  <c r="D87" i="4" s="1"/>
  <c r="G87" i="4" s="1" a="1"/>
  <c r="G87" i="4" s="1"/>
  <c r="H87" i="4" s="1" a="1"/>
  <c r="H87" i="4" s="1"/>
  <c r="L87" i="4" s="1"/>
  <c r="O88" i="4"/>
  <c r="I90" i="4" a="1"/>
  <c r="I90" i="4" s="1"/>
  <c r="F93" i="4"/>
  <c r="E93" i="4" s="1"/>
  <c r="C96" i="4"/>
  <c r="E96" i="4" s="1"/>
  <c r="O97" i="4"/>
  <c r="I99" i="4" a="1"/>
  <c r="I99" i="4" s="1"/>
  <c r="O103" i="4"/>
  <c r="I105" i="4" a="1"/>
  <c r="I105" i="4" s="1"/>
  <c r="O109" i="4"/>
  <c r="C92" i="4"/>
  <c r="D92" i="4" s="1"/>
  <c r="G92" i="4" s="1" a="1"/>
  <c r="G92" i="4" s="1"/>
  <c r="H92" i="4" s="1" a="1"/>
  <c r="H92" i="4" s="1"/>
  <c r="I98" i="4" a="1"/>
  <c r="I98" i="4" s="1"/>
  <c r="F101" i="4"/>
  <c r="C104" i="4"/>
  <c r="D104" i="4" s="1"/>
  <c r="G104" i="4" s="1" a="1"/>
  <c r="G104" i="4" s="1"/>
  <c r="H104" i="4" s="1" a="1"/>
  <c r="H104" i="4" s="1"/>
  <c r="M104" i="4" s="1"/>
  <c r="O104" i="4"/>
  <c r="F107" i="4"/>
  <c r="C110" i="4"/>
  <c r="D110" i="4" s="1"/>
  <c r="G110" i="4" s="1" a="1"/>
  <c r="G110" i="4" s="1"/>
  <c r="H110" i="4" s="1" a="1"/>
  <c r="H110" i="4" s="1"/>
  <c r="O110" i="4"/>
  <c r="I113" i="4" a="1"/>
  <c r="I113" i="4" s="1"/>
  <c r="C98" i="4"/>
  <c r="O112" i="4"/>
  <c r="F115" i="4"/>
  <c r="I114" i="4" a="1"/>
  <c r="I114" i="4" s="1"/>
  <c r="E10" i="4"/>
  <c r="C72" i="4"/>
  <c r="D72" i="4" s="1"/>
  <c r="G72" i="4" s="1" a="1"/>
  <c r="G72" i="4" s="1"/>
  <c r="H72" i="4" s="1" a="1"/>
  <c r="H72" i="4" s="1"/>
  <c r="C81" i="4"/>
  <c r="C90" i="4"/>
  <c r="E90" i="4" s="1"/>
  <c r="C99" i="4"/>
  <c r="C102" i="4"/>
  <c r="C105" i="4"/>
  <c r="O108" i="4"/>
  <c r="I111" i="4" a="1"/>
  <c r="I111" i="4" s="1"/>
  <c r="C112" i="4"/>
  <c r="D112" i="4" s="1"/>
  <c r="G112" i="4" s="1" a="1"/>
  <c r="G112" i="4" s="1"/>
  <c r="H112" i="4" s="1" a="1"/>
  <c r="H112" i="4" s="1"/>
  <c r="C113" i="4"/>
  <c r="D113" i="4" s="1"/>
  <c r="G113" i="4" s="1" a="1"/>
  <c r="G113" i="4" s="1"/>
  <c r="H113" i="4" s="1" a="1"/>
  <c r="H113" i="4" s="1"/>
  <c r="H111" i="4" a="1"/>
  <c r="H111" i="4" s="1"/>
  <c r="K111" i="4" s="1"/>
  <c r="N111" i="4" s="1"/>
  <c r="I2" i="4" a="1"/>
  <c r="I2" i="4" s="1"/>
  <c r="F114" i="4"/>
  <c r="E7" i="4"/>
  <c r="I112" i="4" a="1"/>
  <c r="I112" i="4" s="1"/>
  <c r="C114" i="4"/>
  <c r="D114" i="4" s="1"/>
  <c r="G114" i="4" s="1" a="1"/>
  <c r="G114" i="4" s="1"/>
  <c r="H114" i="4" s="1" a="1"/>
  <c r="H114" i="4" s="1"/>
  <c r="D10" i="4"/>
  <c r="G10" i="4" s="1" a="1"/>
  <c r="G10" i="4" s="1"/>
  <c r="H10" i="4" s="1" a="1"/>
  <c r="H10" i="4" s="1"/>
  <c r="M10" i="4" s="1"/>
  <c r="D7" i="4"/>
  <c r="G7" i="4" s="1" a="1"/>
  <c r="G7" i="4" s="1"/>
  <c r="H7" i="4" s="1" a="1"/>
  <c r="H7" i="4" s="1"/>
  <c r="K7" i="4" s="1"/>
  <c r="N7" i="4" s="1"/>
  <c r="E4" i="4"/>
  <c r="E13" i="4"/>
  <c r="O2" i="4"/>
  <c r="O111" i="4"/>
  <c r="F111" i="4"/>
  <c r="E111" i="4" s="1"/>
  <c r="I115" i="4" a="1"/>
  <c r="I115" i="4" s="1"/>
  <c r="C115" i="4"/>
  <c r="I109" i="4" a="1"/>
  <c r="I109" i="4" s="1"/>
  <c r="C109" i="4"/>
  <c r="I106" i="4" a="1"/>
  <c r="I106" i="4" s="1"/>
  <c r="C106" i="4"/>
  <c r="I103" i="4" a="1"/>
  <c r="I103" i="4" s="1"/>
  <c r="C103" i="4"/>
  <c r="I100" i="4" a="1"/>
  <c r="I100" i="4" s="1"/>
  <c r="C100" i="4"/>
  <c r="I97" i="4" a="1"/>
  <c r="I97" i="4" s="1"/>
  <c r="C97" i="4"/>
  <c r="I94" i="4" a="1"/>
  <c r="I94" i="4" s="1"/>
  <c r="C94" i="4"/>
  <c r="I91" i="4" a="1"/>
  <c r="I91" i="4" s="1"/>
  <c r="C91" i="4"/>
  <c r="D91" i="4" s="1"/>
  <c r="G91" i="4" s="1" a="1"/>
  <c r="G91" i="4" s="1"/>
  <c r="H91" i="4" s="1" a="1"/>
  <c r="H91" i="4" s="1"/>
  <c r="M91" i="4" s="1"/>
  <c r="I88" i="4" a="1"/>
  <c r="I88" i="4" s="1"/>
  <c r="C88" i="4"/>
  <c r="D88" i="4" s="1"/>
  <c r="G88" i="4" s="1" a="1"/>
  <c r="G88" i="4" s="1"/>
  <c r="H88" i="4" s="1" a="1"/>
  <c r="H88" i="4" s="1"/>
  <c r="M88" i="4" s="1"/>
  <c r="I85" i="4" a="1"/>
  <c r="I85" i="4" s="1"/>
  <c r="C85" i="4"/>
  <c r="D85" i="4" s="1"/>
  <c r="G85" i="4" s="1" a="1"/>
  <c r="G85" i="4" s="1"/>
  <c r="H85" i="4" s="1" a="1"/>
  <c r="H85" i="4" s="1"/>
  <c r="L85" i="4" s="1"/>
  <c r="I82" i="4" a="1"/>
  <c r="I82" i="4" s="1"/>
  <c r="C82" i="4"/>
  <c r="D82" i="4" s="1"/>
  <c r="G82" i="4" s="1" a="1"/>
  <c r="G82" i="4" s="1"/>
  <c r="H82" i="4" s="1" a="1"/>
  <c r="H82" i="4" s="1"/>
  <c r="K82" i="4" s="1"/>
  <c r="N82" i="4" s="1"/>
  <c r="I79" i="4" a="1"/>
  <c r="I79" i="4" s="1"/>
  <c r="C79" i="4"/>
  <c r="D79" i="4" s="1"/>
  <c r="G79" i="4" s="1" a="1"/>
  <c r="G79" i="4" s="1"/>
  <c r="H79" i="4" s="1" a="1"/>
  <c r="H79" i="4" s="1"/>
  <c r="K79" i="4" s="1"/>
  <c r="N79" i="4" s="1"/>
  <c r="I76" i="4" a="1"/>
  <c r="I76" i="4" s="1"/>
  <c r="C76" i="4"/>
  <c r="D76" i="4" s="1"/>
  <c r="G76" i="4" s="1" a="1"/>
  <c r="G76" i="4" s="1"/>
  <c r="H76" i="4" s="1" a="1"/>
  <c r="H76" i="4" s="1"/>
  <c r="L76" i="4" s="1"/>
  <c r="I73" i="4" a="1"/>
  <c r="I73" i="4" s="1"/>
  <c r="C73" i="4"/>
  <c r="D73" i="4" s="1"/>
  <c r="G73" i="4" s="1" a="1"/>
  <c r="G73" i="4" s="1"/>
  <c r="H73" i="4" s="1" a="1"/>
  <c r="H73" i="4" s="1"/>
  <c r="L73" i="4" s="1"/>
  <c r="D30" i="4"/>
  <c r="G30" i="4" s="1" a="1"/>
  <c r="G30" i="4" s="1"/>
  <c r="H30" i="4" s="1" a="1"/>
  <c r="H30" i="4" s="1"/>
  <c r="K30" i="4" s="1"/>
  <c r="N30" i="4" s="1"/>
  <c r="E38" i="4"/>
  <c r="E56" i="4"/>
  <c r="E80" i="4"/>
  <c r="M6" i="4"/>
  <c r="K6" i="4"/>
  <c r="L13" i="4"/>
  <c r="E15" i="4"/>
  <c r="D15" i="4"/>
  <c r="G15" i="4" s="1" a="1"/>
  <c r="G15" i="4" s="1"/>
  <c r="H15" i="4" s="1" a="1"/>
  <c r="H15" i="4" s="1"/>
  <c r="K15" i="4" s="1"/>
  <c r="N15" i="4" s="1"/>
  <c r="E31" i="4"/>
  <c r="L18" i="4"/>
  <c r="L6" i="4"/>
  <c r="M40" i="4"/>
  <c r="E18" i="4"/>
  <c r="M37" i="4"/>
  <c r="L37" i="4"/>
  <c r="K12" i="4"/>
  <c r="N12" i="4" s="1"/>
  <c r="L12" i="4"/>
  <c r="E2" i="4"/>
  <c r="D2" i="4"/>
  <c r="G2" i="4" s="1" a="1"/>
  <c r="G2" i="4" s="1"/>
  <c r="E46" i="4"/>
  <c r="E5" i="4"/>
  <c r="D5" i="4"/>
  <c r="G5" i="4" s="1" a="1"/>
  <c r="G5" i="4" s="1"/>
  <c r="H5" i="4" s="1" a="1"/>
  <c r="H5" i="4" s="1"/>
  <c r="E8" i="4"/>
  <c r="D8" i="4"/>
  <c r="G8" i="4" s="1" a="1"/>
  <c r="G8" i="4" s="1"/>
  <c r="H8" i="4" s="1" a="1"/>
  <c r="H8" i="4" s="1"/>
  <c r="L8" i="4" s="1"/>
  <c r="D11" i="4"/>
  <c r="G11" i="4" s="1" a="1"/>
  <c r="G11" i="4" s="1"/>
  <c r="H11" i="4" s="1" a="1"/>
  <c r="H11" i="4" s="1"/>
  <c r="K11" i="4" s="1"/>
  <c r="N11" i="4" s="1"/>
  <c r="E14" i="4"/>
  <c r="D14" i="4"/>
  <c r="G14" i="4" s="1" a="1"/>
  <c r="G14" i="4" s="1"/>
  <c r="H14" i="4" s="1" a="1"/>
  <c r="H14" i="4" s="1"/>
  <c r="K14" i="4" s="1"/>
  <c r="N14" i="4" s="1"/>
  <c r="E58" i="4"/>
  <c r="E67" i="4"/>
  <c r="D67" i="4"/>
  <c r="G67" i="4" s="1" a="1"/>
  <c r="G67" i="4" s="1"/>
  <c r="H67" i="4" s="1" a="1"/>
  <c r="H67" i="4" s="1"/>
  <c r="M67" i="4" s="1"/>
  <c r="D55" i="4"/>
  <c r="G55" i="4" s="1" a="1"/>
  <c r="G55" i="4" s="1"/>
  <c r="H55" i="4" s="1" a="1"/>
  <c r="H55" i="4" s="1"/>
  <c r="M55" i="4" s="1"/>
  <c r="D43" i="4"/>
  <c r="G43" i="4" s="1" a="1"/>
  <c r="G43" i="4" s="1"/>
  <c r="H43" i="4" s="1" a="1"/>
  <c r="H43" i="4" s="1"/>
  <c r="L43" i="4" s="1"/>
  <c r="D19" i="4"/>
  <c r="G19" i="4" s="1" a="1"/>
  <c r="G19" i="4" s="1"/>
  <c r="H19" i="4" s="1" a="1"/>
  <c r="H19" i="4" s="1"/>
  <c r="K16" i="4"/>
  <c r="N16" i="4" s="1"/>
  <c r="L16" i="4"/>
  <c r="E19" i="4"/>
  <c r="K28" i="4"/>
  <c r="N28" i="4" s="1"/>
  <c r="M28" i="4"/>
  <c r="L28" i="4"/>
  <c r="E28" i="4"/>
  <c r="L40" i="4"/>
  <c r="M16" i="4"/>
  <c r="D70" i="4"/>
  <c r="G70" i="4" s="1" a="1"/>
  <c r="G70" i="4" s="1"/>
  <c r="H70" i="4" s="1" a="1"/>
  <c r="H70" i="4" s="1"/>
  <c r="M70" i="4" s="1"/>
  <c r="D58" i="4"/>
  <c r="G58" i="4" s="1" a="1"/>
  <c r="G58" i="4" s="1"/>
  <c r="H58" i="4" s="1" a="1"/>
  <c r="H58" i="4" s="1"/>
  <c r="K58" i="4" s="1"/>
  <c r="N58" i="4" s="1"/>
  <c r="D46" i="4"/>
  <c r="G46" i="4" s="1" a="1"/>
  <c r="G46" i="4" s="1"/>
  <c r="H46" i="4" s="1" a="1"/>
  <c r="H46" i="4" s="1"/>
  <c r="K46" i="4" s="1"/>
  <c r="N46" i="4" s="1"/>
  <c r="D34" i="4"/>
  <c r="G34" i="4" s="1" a="1"/>
  <c r="G34" i="4" s="1"/>
  <c r="H34" i="4" s="1" a="1"/>
  <c r="H34" i="4" s="1"/>
  <c r="M34" i="4" s="1"/>
  <c r="D22" i="4"/>
  <c r="G22" i="4" s="1" a="1"/>
  <c r="G22" i="4" s="1"/>
  <c r="H22" i="4" s="1" a="1"/>
  <c r="H22" i="4" s="1"/>
  <c r="K22" i="4" s="1"/>
  <c r="N22" i="4" s="1"/>
  <c r="E55" i="4"/>
  <c r="M25" i="4"/>
  <c r="K25" i="4"/>
  <c r="N25" i="4" s="1"/>
  <c r="K37" i="4"/>
  <c r="N37" i="4" s="1"/>
  <c r="E40" i="4"/>
  <c r="M49" i="4"/>
  <c r="K61" i="4"/>
  <c r="N61" i="4" s="1"/>
  <c r="D9" i="4"/>
  <c r="G9" i="4" s="1" a="1"/>
  <c r="G9" i="4" s="1"/>
  <c r="H9" i="4" s="1" a="1"/>
  <c r="H9" i="4" s="1"/>
  <c r="K9" i="4" s="1"/>
  <c r="N9" i="4" s="1"/>
  <c r="M12" i="4"/>
  <c r="E12" i="4"/>
  <c r="E16" i="4"/>
  <c r="M18" i="4"/>
  <c r="E21" i="4"/>
  <c r="M21" i="4"/>
  <c r="E22" i="4"/>
  <c r="E25" i="4"/>
  <c r="E34" i="4"/>
  <c r="E37" i="4"/>
  <c r="E43" i="4"/>
  <c r="E49" i="4"/>
  <c r="E52" i="4"/>
  <c r="E61" i="4"/>
  <c r="E64" i="4"/>
  <c r="E70" i="4"/>
  <c r="K18" i="4"/>
  <c r="N18" i="4" s="1"/>
  <c r="L21" i="4"/>
  <c r="D3" i="4"/>
  <c r="G3" i="4" s="1" a="1"/>
  <c r="G3" i="4" s="1"/>
  <c r="H3" i="4" s="1" a="1"/>
  <c r="H3" i="4" s="1"/>
  <c r="E53" i="4" l="1"/>
  <c r="K24" i="4"/>
  <c r="N24" i="4" s="1"/>
  <c r="L17" i="4"/>
  <c r="E35" i="4"/>
  <c r="M24" i="4"/>
  <c r="K95" i="4"/>
  <c r="N95" i="4" s="1"/>
  <c r="K4" i="4"/>
  <c r="N4" i="4" s="1"/>
  <c r="E62" i="4"/>
  <c r="E44" i="4"/>
  <c r="E26" i="4"/>
  <c r="E95" i="4"/>
  <c r="E30" i="4"/>
  <c r="M4" i="4"/>
  <c r="L95" i="4"/>
  <c r="M31" i="4"/>
  <c r="E17" i="4"/>
  <c r="M52" i="4"/>
  <c r="M61" i="4"/>
  <c r="E29" i="4"/>
  <c r="M64" i="4"/>
  <c r="L49" i="4"/>
  <c r="K112" i="4"/>
  <c r="N112" i="4" s="1"/>
  <c r="L52" i="4"/>
  <c r="K13" i="4"/>
  <c r="N13" i="4" s="1"/>
  <c r="E47" i="4"/>
  <c r="E20" i="4"/>
  <c r="L33" i="4"/>
  <c r="K33" i="4"/>
  <c r="N33" i="4" s="1"/>
  <c r="L64" i="4"/>
  <c r="K31" i="4"/>
  <c r="N31" i="4" s="1"/>
  <c r="E54" i="4"/>
  <c r="M38" i="4"/>
  <c r="K56" i="4"/>
  <c r="N56" i="4" s="1"/>
  <c r="E74" i="4"/>
  <c r="E59" i="4"/>
  <c r="E50" i="4"/>
  <c r="E41" i="4"/>
  <c r="E32" i="4"/>
  <c r="E23" i="4"/>
  <c r="E33" i="4"/>
  <c r="L80" i="4"/>
  <c r="M92" i="4"/>
  <c r="K65" i="4"/>
  <c r="N65" i="4" s="1"/>
  <c r="M78" i="4"/>
  <c r="L114" i="4"/>
  <c r="K80" i="4"/>
  <c r="N80" i="4" s="1"/>
  <c r="M83" i="4"/>
  <c r="K47" i="4"/>
  <c r="N47" i="4" s="1"/>
  <c r="L108" i="4"/>
  <c r="E36" i="4"/>
  <c r="E92" i="4"/>
  <c r="E65" i="4"/>
  <c r="K20" i="4"/>
  <c r="N20" i="4" s="1"/>
  <c r="E60" i="4"/>
  <c r="M111" i="4"/>
  <c r="K78" i="4"/>
  <c r="N78" i="4" s="1"/>
  <c r="M54" i="4"/>
  <c r="M47" i="4"/>
  <c r="L92" i="4"/>
  <c r="K83" i="4"/>
  <c r="N83" i="4" s="1"/>
  <c r="M29" i="4"/>
  <c r="L107" i="4"/>
  <c r="M110" i="4"/>
  <c r="L32" i="4"/>
  <c r="D60" i="4"/>
  <c r="G60" i="4" s="1" a="1"/>
  <c r="G60" i="4" s="1"/>
  <c r="H60" i="4" s="1" a="1"/>
  <c r="H60" i="4" s="1"/>
  <c r="K60" i="4" s="1"/>
  <c r="N60" i="4" s="1"/>
  <c r="M20" i="4"/>
  <c r="E78" i="4"/>
  <c r="E48" i="4"/>
  <c r="E84" i="4"/>
  <c r="K44" i="4"/>
  <c r="N44" i="4" s="1"/>
  <c r="E87" i="4"/>
  <c r="K75" i="4"/>
  <c r="N75" i="4" s="1"/>
  <c r="E63" i="4"/>
  <c r="K51" i="4"/>
  <c r="N51" i="4" s="1"/>
  <c r="M93" i="4"/>
  <c r="L62" i="4"/>
  <c r="D90" i="4"/>
  <c r="G90" i="4" s="1" a="1"/>
  <c r="G90" i="4" s="1"/>
  <c r="H90" i="4" s="1" a="1"/>
  <c r="H90" i="4" s="1"/>
  <c r="M90" i="4" s="1"/>
  <c r="K36" i="4"/>
  <c r="N36" i="4" s="1"/>
  <c r="L75" i="4"/>
  <c r="M26" i="4"/>
  <c r="K53" i="4"/>
  <c r="N53" i="4" s="1"/>
  <c r="M63" i="4"/>
  <c r="D48" i="4"/>
  <c r="G48" i="4" s="1" a="1"/>
  <c r="G48" i="4" s="1"/>
  <c r="H48" i="4" s="1" a="1"/>
  <c r="H48" i="4" s="1"/>
  <c r="K48" i="4" s="1"/>
  <c r="N48" i="4" s="1"/>
  <c r="E75" i="4"/>
  <c r="M44" i="4"/>
  <c r="L26" i="4"/>
  <c r="M114" i="4"/>
  <c r="K62" i="4"/>
  <c r="N62" i="4" s="1"/>
  <c r="L77" i="4"/>
  <c r="L53" i="4"/>
  <c r="K17" i="4"/>
  <c r="N17" i="4" s="1"/>
  <c r="K108" i="4"/>
  <c r="N108" i="4" s="1"/>
  <c r="L111" i="4"/>
  <c r="K93" i="4"/>
  <c r="N93" i="4" s="1"/>
  <c r="M72" i="4"/>
  <c r="M77" i="4"/>
  <c r="L35" i="4"/>
  <c r="E66" i="4"/>
  <c r="E72" i="4"/>
  <c r="M75" i="4"/>
  <c r="K72" i="4"/>
  <c r="N72" i="4" s="1"/>
  <c r="K63" i="4"/>
  <c r="N63" i="4" s="1"/>
  <c r="K26" i="4"/>
  <c r="N26" i="4" s="1"/>
  <c r="M62" i="4"/>
  <c r="M53" i="4"/>
  <c r="M17" i="4"/>
  <c r="M108" i="4"/>
  <c r="M51" i="4"/>
  <c r="M36" i="4"/>
  <c r="L72" i="4"/>
  <c r="K77" i="4"/>
  <c r="N77" i="4" s="1"/>
  <c r="E77" i="4"/>
  <c r="L51" i="4"/>
  <c r="M35" i="4"/>
  <c r="E108" i="4"/>
  <c r="E39" i="4"/>
  <c r="E69" i="4"/>
  <c r="E42" i="4"/>
  <c r="L86" i="4"/>
  <c r="K86" i="4"/>
  <c r="N86" i="4" s="1"/>
  <c r="E27" i="4"/>
  <c r="L23" i="4"/>
  <c r="M41" i="4"/>
  <c r="E86" i="4"/>
  <c r="E45" i="4"/>
  <c r="K54" i="4"/>
  <c r="N54" i="4" s="1"/>
  <c r="K27" i="4"/>
  <c r="N27" i="4" s="1"/>
  <c r="K38" i="4"/>
  <c r="N38" i="4" s="1"/>
  <c r="K29" i="4"/>
  <c r="N29" i="4" s="1"/>
  <c r="M80" i="4"/>
  <c r="M56" i="4"/>
  <c r="K92" i="4"/>
  <c r="N92" i="4" s="1"/>
  <c r="L83" i="4"/>
  <c r="L10" i="4"/>
  <c r="K107" i="4"/>
  <c r="N107" i="4" s="1"/>
  <c r="K110" i="4"/>
  <c r="N110" i="4" s="1"/>
  <c r="L54" i="4"/>
  <c r="D69" i="4"/>
  <c r="G69" i="4" s="1" a="1"/>
  <c r="G69" i="4" s="1"/>
  <c r="H69" i="4" s="1" a="1"/>
  <c r="H69" i="4" s="1"/>
  <c r="L69" i="4" s="1"/>
  <c r="D96" i="4"/>
  <c r="G96" i="4" s="1" a="1"/>
  <c r="G96" i="4" s="1"/>
  <c r="H96" i="4" s="1" a="1"/>
  <c r="H96" i="4" s="1"/>
  <c r="L96" i="4" s="1"/>
  <c r="M86" i="4"/>
  <c r="E83" i="4"/>
  <c r="L27" i="4"/>
  <c r="E88" i="4"/>
  <c r="M112" i="4"/>
  <c r="K89" i="4"/>
  <c r="N89" i="4" s="1"/>
  <c r="K101" i="4"/>
  <c r="N101" i="4" s="1"/>
  <c r="L59" i="4"/>
  <c r="M23" i="4"/>
  <c r="L68" i="4"/>
  <c r="M89" i="4"/>
  <c r="M101" i="4"/>
  <c r="M32" i="4"/>
  <c r="K41" i="4"/>
  <c r="N41" i="4" s="1"/>
  <c r="L50" i="4"/>
  <c r="L38" i="4"/>
  <c r="K59" i="4"/>
  <c r="N59" i="4" s="1"/>
  <c r="M65" i="4"/>
  <c r="L65" i="4"/>
  <c r="L104" i="4"/>
  <c r="L47" i="4"/>
  <c r="L56" i="4"/>
  <c r="K68" i="4"/>
  <c r="N68" i="4" s="1"/>
  <c r="L89" i="4"/>
  <c r="M107" i="4"/>
  <c r="L112" i="4"/>
  <c r="L110" i="4"/>
  <c r="K50" i="4"/>
  <c r="N50" i="4" s="1"/>
  <c r="L78" i="4"/>
  <c r="K32" i="4"/>
  <c r="N32" i="4" s="1"/>
  <c r="M74" i="4"/>
  <c r="L41" i="4"/>
  <c r="E89" i="4"/>
  <c r="E68" i="4"/>
  <c r="L20" i="4"/>
  <c r="E107" i="4"/>
  <c r="E101" i="4"/>
  <c r="L113" i="4"/>
  <c r="E94" i="4"/>
  <c r="K104" i="4"/>
  <c r="N104" i="4" s="1"/>
  <c r="M113" i="4"/>
  <c r="L74" i="4"/>
  <c r="K10" i="4"/>
  <c r="N10" i="4" s="1"/>
  <c r="K113" i="4"/>
  <c r="N113" i="4" s="1"/>
  <c r="K114" i="4"/>
  <c r="N114" i="4" s="1"/>
  <c r="E112" i="4"/>
  <c r="D71" i="4"/>
  <c r="G71" i="4" s="1" a="1"/>
  <c r="G71" i="4" s="1"/>
  <c r="H71" i="4" s="1" a="1"/>
  <c r="H71" i="4" s="1"/>
  <c r="E71" i="4"/>
  <c r="K91" i="4"/>
  <c r="N91" i="4" s="1"/>
  <c r="M7" i="4"/>
  <c r="L7" i="4"/>
  <c r="E85" i="4"/>
  <c r="D98" i="4"/>
  <c r="G98" i="4" s="1" a="1"/>
  <c r="G98" i="4" s="1"/>
  <c r="H98" i="4" s="1" a="1"/>
  <c r="H98" i="4" s="1"/>
  <c r="E98" i="4"/>
  <c r="E113" i="4"/>
  <c r="E104" i="4"/>
  <c r="E110" i="4"/>
  <c r="E105" i="4"/>
  <c r="D105" i="4"/>
  <c r="G105" i="4" s="1" a="1"/>
  <c r="G105" i="4" s="1"/>
  <c r="H105" i="4" s="1" a="1"/>
  <c r="H105" i="4" s="1"/>
  <c r="D102" i="4"/>
  <c r="G102" i="4" s="1" a="1"/>
  <c r="G102" i="4" s="1"/>
  <c r="H102" i="4" s="1" a="1"/>
  <c r="H102" i="4" s="1"/>
  <c r="E102" i="4"/>
  <c r="E81" i="4"/>
  <c r="D81" i="4"/>
  <c r="G81" i="4" s="1" a="1"/>
  <c r="G81" i="4" s="1"/>
  <c r="H81" i="4" s="1" a="1"/>
  <c r="H81" i="4" s="1"/>
  <c r="E82" i="4"/>
  <c r="E99" i="4"/>
  <c r="D99" i="4"/>
  <c r="G99" i="4" s="1" a="1"/>
  <c r="G99" i="4" s="1"/>
  <c r="H99" i="4" s="1" a="1"/>
  <c r="H99" i="4" s="1"/>
  <c r="E76" i="4"/>
  <c r="M76" i="4"/>
  <c r="E114" i="4"/>
  <c r="H2" i="4" a="1"/>
  <c r="H2" i="4" s="1"/>
  <c r="L2" i="4" s="1"/>
  <c r="L91" i="4"/>
  <c r="E91" i="4"/>
  <c r="K76" i="4"/>
  <c r="N76" i="4" s="1"/>
  <c r="K85" i="4"/>
  <c r="N85" i="4" s="1"/>
  <c r="M85" i="4"/>
  <c r="K42" i="4"/>
  <c r="N42" i="4" s="1"/>
  <c r="M57" i="4"/>
  <c r="K45" i="4"/>
  <c r="N45" i="4" s="1"/>
  <c r="M66" i="4"/>
  <c r="L66" i="4"/>
  <c r="M30" i="4"/>
  <c r="M87" i="4"/>
  <c r="M45" i="4"/>
  <c r="M73" i="4"/>
  <c r="E73" i="4"/>
  <c r="D97" i="4"/>
  <c r="G97" i="4" s="1" a="1"/>
  <c r="G97" i="4" s="1"/>
  <c r="H97" i="4" s="1" a="1"/>
  <c r="H97" i="4" s="1"/>
  <c r="E97" i="4"/>
  <c r="E106" i="4"/>
  <c r="D106" i="4"/>
  <c r="G106" i="4" s="1" a="1"/>
  <c r="G106" i="4" s="1"/>
  <c r="H106" i="4" s="1" a="1"/>
  <c r="H106" i="4" s="1"/>
  <c r="L57" i="4"/>
  <c r="E79" i="4"/>
  <c r="K73" i="4"/>
  <c r="N73" i="4" s="1"/>
  <c r="L79" i="4"/>
  <c r="D94" i="4"/>
  <c r="G94" i="4" s="1" a="1"/>
  <c r="G94" i="4" s="1"/>
  <c r="H94" i="4" s="1" a="1"/>
  <c r="H94" i="4" s="1"/>
  <c r="K94" i="4" s="1"/>
  <c r="N94" i="4" s="1"/>
  <c r="E103" i="4"/>
  <c r="D103" i="4"/>
  <c r="G103" i="4" s="1" a="1"/>
  <c r="G103" i="4" s="1"/>
  <c r="H103" i="4" s="1" a="1"/>
  <c r="H103" i="4" s="1"/>
  <c r="E115" i="4"/>
  <c r="D115" i="4"/>
  <c r="G115" i="4" s="1" a="1"/>
  <c r="G115" i="4" s="1"/>
  <c r="H115" i="4" s="1" a="1"/>
  <c r="H115" i="4" s="1"/>
  <c r="E100" i="4"/>
  <c r="D100" i="4"/>
  <c r="G100" i="4" s="1" a="1"/>
  <c r="G100" i="4" s="1"/>
  <c r="H100" i="4" s="1" a="1"/>
  <c r="H100" i="4" s="1"/>
  <c r="E109" i="4"/>
  <c r="D109" i="4"/>
  <c r="G109" i="4" s="1" a="1"/>
  <c r="G109" i="4" s="1"/>
  <c r="H109" i="4" s="1" a="1"/>
  <c r="H109" i="4" s="1"/>
  <c r="M79" i="4"/>
  <c r="L30" i="4"/>
  <c r="L67" i="4"/>
  <c r="K87" i="4"/>
  <c r="N87" i="4" s="1"/>
  <c r="L15" i="4"/>
  <c r="M15" i="4"/>
  <c r="L88" i="4"/>
  <c r="L42" i="4"/>
  <c r="K8" i="4"/>
  <c r="N8" i="4" s="1"/>
  <c r="L84" i="4"/>
  <c r="M8" i="4"/>
  <c r="L22" i="4"/>
  <c r="K43" i="4"/>
  <c r="N43" i="4" s="1"/>
  <c r="M82" i="4"/>
  <c r="L34" i="4"/>
  <c r="M84" i="4"/>
  <c r="M39" i="4"/>
  <c r="M43" i="4"/>
  <c r="L82" i="4"/>
  <c r="K34" i="4"/>
  <c r="N34" i="4" s="1"/>
  <c r="L39" i="4"/>
  <c r="L46" i="4"/>
  <c r="K67" i="4"/>
  <c r="N67" i="4" s="1"/>
  <c r="K88" i="4"/>
  <c r="N88" i="4" s="1"/>
  <c r="M46" i="4"/>
  <c r="L58" i="4"/>
  <c r="K3" i="4"/>
  <c r="N3" i="4" s="1"/>
  <c r="L3" i="4"/>
  <c r="L55" i="4"/>
  <c r="K5" i="4"/>
  <c r="N5" i="4" s="1"/>
  <c r="L5" i="4"/>
  <c r="M58" i="4"/>
  <c r="M19" i="4"/>
  <c r="L19" i="4"/>
  <c r="L14" i="4"/>
  <c r="M14" i="4"/>
  <c r="K55" i="4"/>
  <c r="N55" i="4" s="1"/>
  <c r="K19" i="4"/>
  <c r="N19" i="4" s="1"/>
  <c r="L70" i="4"/>
  <c r="M3" i="4"/>
  <c r="L9" i="4"/>
  <c r="M9" i="4"/>
  <c r="M5" i="4"/>
  <c r="K70" i="4"/>
  <c r="N70" i="4" s="1"/>
  <c r="M11" i="4"/>
  <c r="L11" i="4"/>
  <c r="M22" i="4"/>
  <c r="L60" i="4" l="1"/>
  <c r="M69" i="4"/>
  <c r="M48" i="4"/>
  <c r="K2" i="4"/>
  <c r="N2" i="4" s="1"/>
  <c r="L90" i="4"/>
  <c r="M60" i="4"/>
  <c r="K90" i="4"/>
  <c r="N90" i="4" s="1"/>
  <c r="L48" i="4"/>
  <c r="K96" i="4"/>
  <c r="N96" i="4" s="1"/>
  <c r="M96" i="4"/>
  <c r="K69" i="4"/>
  <c r="N69" i="4" s="1"/>
  <c r="L71" i="4"/>
  <c r="K71" i="4"/>
  <c r="N71" i="4" s="1"/>
  <c r="M71" i="4"/>
  <c r="K98" i="4"/>
  <c r="N98" i="4" s="1"/>
  <c r="M98" i="4"/>
  <c r="L98" i="4"/>
  <c r="M102" i="4"/>
  <c r="L102" i="4"/>
  <c r="K102" i="4"/>
  <c r="N102" i="4" s="1"/>
  <c r="K81" i="4"/>
  <c r="N81" i="4" s="1"/>
  <c r="L81" i="4"/>
  <c r="M81" i="4"/>
  <c r="L105" i="4"/>
  <c r="K105" i="4"/>
  <c r="N105" i="4" s="1"/>
  <c r="M105" i="4"/>
  <c r="L99" i="4"/>
  <c r="M99" i="4"/>
  <c r="K99" i="4"/>
  <c r="N99" i="4" s="1"/>
  <c r="M2" i="4"/>
  <c r="L106" i="4"/>
  <c r="M106" i="4"/>
  <c r="K106" i="4"/>
  <c r="N106" i="4" s="1"/>
  <c r="M103" i="4"/>
  <c r="L103" i="4"/>
  <c r="K103" i="4"/>
  <c r="N103" i="4" s="1"/>
  <c r="L100" i="4"/>
  <c r="K100" i="4"/>
  <c r="N100" i="4" s="1"/>
  <c r="M100" i="4"/>
  <c r="L109" i="4"/>
  <c r="M109" i="4"/>
  <c r="K109" i="4"/>
  <c r="N109" i="4" s="1"/>
  <c r="M115" i="4"/>
  <c r="L115" i="4"/>
  <c r="K115" i="4"/>
  <c r="N115" i="4" s="1"/>
  <c r="L94" i="4"/>
  <c r="M94" i="4"/>
  <c r="K97" i="4"/>
  <c r="N97" i="4" s="1"/>
  <c r="M97" i="4"/>
  <c r="L9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Celeste Tan</author>
  </authors>
  <commentList>
    <comment ref="E1" authorId="0" shapeId="0" xr:uid="{75178646-6CEC-4CA4-9EC0-A468735D7D65}">
      <text>
        <r>
          <rPr>
            <sz val="11"/>
            <color theme="1"/>
            <rFont val="Aptos Narrow"/>
            <family val="2"/>
            <scheme val="minor"/>
          </rPr>
          <t>Celeste Tan:
Red = cannot support the minimum thrust to weight ratio specified in Calculations</t>
        </r>
      </text>
    </comment>
    <comment ref="H1" authorId="0" shapeId="0" xr:uid="{7FA5C578-53C6-40A8-9511-8FBC70A229EC}">
      <text>
        <r>
          <rPr>
            <sz val="11"/>
            <color theme="1"/>
            <rFont val="Aptos Narrow"/>
            <family val="2"/>
            <scheme val="minor"/>
          </rPr>
          <t>Celeste Tan:
Finds the closest current's efficiency and uses it for its calculations</t>
        </r>
      </text>
    </comment>
    <comment ref="L1" authorId="0" shapeId="0" xr:uid="{E1C83EBB-925C-4846-A105-AF7B99CCEFEB}">
      <text>
        <r>
          <rPr>
            <sz val="11"/>
            <color theme="1"/>
            <rFont val="Aptos Narrow"/>
            <family val="2"/>
            <scheme val="minor"/>
          </rPr>
          <t xml:space="preserve">Celeste Tan:
Red = peak current of battery cannot support this value
Orange = continuous current of battery cannot support this value
</t>
        </r>
      </text>
    </comment>
    <comment ref="M1" authorId="0" shapeId="0" xr:uid="{9AF2665B-2229-471C-9913-4CCD1C1B71C0}">
      <text>
        <r>
          <rPr>
            <sz val="11"/>
            <color theme="1"/>
            <rFont val="Aptos Narrow"/>
            <family val="2"/>
            <scheme val="minor"/>
          </rPr>
          <t xml:space="preserve">Celeste Tan:
Red = peak current of battery cannot support this value
Orange = continuous current of battery cannot support this value
</t>
        </r>
      </text>
    </comment>
    <comment ref="N1" authorId="0" shapeId="0" xr:uid="{5188EDF0-DBF5-4A8F-BA44-EE60C2F8AF29}">
      <text>
        <r>
          <rPr>
            <sz val="11"/>
            <color theme="1"/>
            <rFont val="Aptos Narrow"/>
            <family val="2"/>
            <scheme val="minor"/>
          </rPr>
          <t>Celeste Tan:
Green = top 10% flight time among all the results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<sst xmlns="http://schemas.openxmlformats.org/spreadsheetml/2006/main" count="77" uniqueCount="61">
  <si>
    <t>Parameters</t>
  </si>
  <si>
    <t>Value</t>
  </si>
  <si>
    <t>Notes</t>
  </si>
  <si>
    <t>Base weight of drone (g)</t>
  </si>
  <si>
    <t>This is the weight of the drone without the batteries and motors</t>
  </si>
  <si>
    <t>Base current draw of drone (A)</t>
  </si>
  <si>
    <t>This is the current draw of the components excluding the motors</t>
  </si>
  <si>
    <t>Minimum thrust to weight ratio</t>
  </si>
  <si>
    <t>This is the minimum acceptable ratio to color the Results sheet (See how to use)</t>
  </si>
  <si>
    <t>Number of motors</t>
  </si>
  <si>
    <t>This parameter is used in determining whether the battery can support the motors' total current draw</t>
  </si>
  <si>
    <t>Operational voltage (V)</t>
  </si>
  <si>
    <t>If change this, manually check that all motors are compatible with the new voltage</t>
  </si>
  <si>
    <t>Minimum takeoff to normal weight ratio</t>
  </si>
  <si>
    <t>This is to calculate how much current it needs to takeoff</t>
  </si>
  <si>
    <t>Total number of motors entered</t>
  </si>
  <si>
    <t>Do not change this, this auto updates based on your motors sheet</t>
  </si>
  <si>
    <t>How to use</t>
  </si>
  <si>
    <t xml:space="preserve">Add the motors and batteries to each sheet respectively. </t>
  </si>
  <si>
    <t>For motors, Motor-Prop ID is a composite key to figure out the current needed at a specific thrust requirement. If the motor or the prop changes, the Motor-prop ID needs to change.</t>
  </si>
  <si>
    <t>How to read the results</t>
  </si>
  <si>
    <t>Thrust to weight ratio achievable column in Results, if red means motors cannot support a minimum thrust to weight ratio specified in the Calculations sheet</t>
  </si>
  <si>
    <t>Take off current drawn from batt red = battery cannot supply minimum takeoff ratio which is specified in the Calcualtions sheet. if orange, means that the battery can suply but its above its continuous discharge rate</t>
  </si>
  <si>
    <t>Discharge time green = top 10% of results</t>
  </si>
  <si>
    <t>Motor-Prop ID</t>
  </si>
  <si>
    <t>Battery ID</t>
  </si>
  <si>
    <t>Total weight (g)</t>
  </si>
  <si>
    <t>Thrust needed per motor to maintain thrust to weight ratio (g)</t>
  </si>
  <si>
    <t>Max thrust to weight ratio achievable</t>
  </si>
  <si>
    <t>Max Thrust per motor (g)</t>
  </si>
  <si>
    <t>Closest Current (A)</t>
  </si>
  <si>
    <t>Efficiency (g/W)</t>
  </si>
  <si>
    <t>Continuous Current of Battery (A)</t>
  </si>
  <si>
    <t>Max Current of Battery (A)</t>
  </si>
  <si>
    <t>Stationkeeping current needed (A)</t>
  </si>
  <si>
    <t>Takeoff current drawn from ESC (A)</t>
  </si>
  <si>
    <t>Takeoff current drawn from batt (A)</t>
  </si>
  <si>
    <t>Flight Time (mins)</t>
  </si>
  <si>
    <t>Price of Motors &amp; Battery ($)</t>
  </si>
  <si>
    <t>Motor</t>
  </si>
  <si>
    <t>Propellor</t>
  </si>
  <si>
    <t>Weight (g)</t>
  </si>
  <si>
    <t>Max Thrust (g)</t>
  </si>
  <si>
    <t>Price ($)</t>
  </si>
  <si>
    <t>Thrust (g)</t>
  </si>
  <si>
    <t>Power (W)</t>
  </si>
  <si>
    <t>Current (A)</t>
  </si>
  <si>
    <t>T-MOTOR F1204 1204 5000KV</t>
  </si>
  <si>
    <t>GF2540</t>
  </si>
  <si>
    <t xml:space="preserve"> RCinpower GTS 1204 5000KV V2</t>
  </si>
  <si>
    <t>T2.5*3*3</t>
  </si>
  <si>
    <t>Battery</t>
  </si>
  <si>
    <t>C (mAh)</t>
  </si>
  <si>
    <t>Constant discharge (C)</t>
  </si>
  <si>
    <t>Peak discharge (C)</t>
  </si>
  <si>
    <t>Onbo 900mAh 3s LiPo</t>
  </si>
  <si>
    <t>Tattu R-Line 550mAh 95C</t>
  </si>
  <si>
    <t>Alienmodel 650mAh 60C</t>
  </si>
  <si>
    <t>Alienmodel 3S HV 11.4V 750mAh 120C</t>
  </si>
  <si>
    <t>Alienmodel 3S 11.4HV 1100mAh 50C</t>
  </si>
  <si>
    <t xml:space="preserve">Li-ion 3s battery pack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</si>
</sst>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2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0" fillId="3" borderId="0" xfId="0" applyFill="1" applyAlignment="1">
      <alignment wrapText="1"/>
    </xf>
    <xf numFmtId="2" fontId="0" fillId="3" borderId="0" xfId="0" applyNumberFormat="1" applyFill="1"/>
  </cellXfs>
  <cellStyles count="2">
    <cellStyle name="Hyperlink" xfId="1" builtinId="8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Flight time per battery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'Results (DO NOT EDIT)'!B2:B13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</c:numCache>
            </c:numRef>
          </c:cat>
          <c:val>
            <c:numRef>
              <c:f>'Results (DO NOT EDIT)'!$N$2:$N$13</c:f>
              <c:numCache>
                <c:formatCode>General</c:formatCode>
                <c:ptCount val="12"/>
                <c:pt idx="0">
                  <c:v>6.3504291415821772</c:v>
                </c:pt>
                <c:pt idx="1">
                  <c:v>7.8361848462456649</c:v>
                </c:pt>
                <c:pt idx="2">
                  <c:v>4.7720928006636205</c:v>
                </c:pt>
                <c:pt idx="3">
                  <c:v>5.3211014968736183</c:v>
                </c:pt>
                <c:pt idx="4">
                  <c:v>5.5834251371246184</c:v>
                </c:pt>
                <c:pt idx="5">
                  <c:v>6.2256612267867188</c:v>
                </c:pt>
                <c:pt idx="6">
                  <c:v>5.9935105492039753</c:v>
                </c:pt>
                <c:pt idx="7">
                  <c:v>6.6820799162449829</c:v>
                </c:pt>
                <c:pt idx="8">
                  <c:v>8.6301244593364093</c:v>
                </c:pt>
                <c:pt idx="9">
                  <c:v>9.6213098840861075</c:v>
                </c:pt>
                <c:pt idx="10">
                  <c:v>16.007577975361599</c:v>
                </c:pt>
                <c:pt idx="11">
                  <c:v>19.813736903376014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88-40C1-B539-02B424AE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315144"/>
        <c:axId val="804317192"/>
      </c:barChart>
      <c:catAx>
        <c:axId val="804315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317192"/>
        <c:crosses val="autoZero"/>
        <c:auto val="1"/>
        <c:lblAlgn val="ctr"/>
        <c:lblOffset val="100"/>
        <c:noMultiLvlLbl val="0"/>
      </c:catAx>
      <c:valAx>
        <c:axId val="804317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315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314325</xdr:colOff>
      <xdr:row>8</xdr:row>
      <xdr:rowOff>171450</xdr:rowOff>
    </xdr:from>
    <xdr:to>
      <xdr:col>24</xdr:col>
      <xdr:colOff>9525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FEE4F7-CA2A-40E8-1682-15459713A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aoneng.shop/products/gaoneng-gnb-2s-7.4v-1850mah-100c-lipo-battery-xt60-connector" TargetMode="External"/><Relationship Id="rId2" Type="http://schemas.openxmlformats.org/officeDocument/2006/relationships/hyperlink" Target="https://www.gaoneng.shop/products/gaoneng-gnb-2s-7.4v-1550mah-100c-xt60-lipo-battery" TargetMode="External"/><Relationship Id="rId1" Type="http://schemas.openxmlformats.org/officeDocument/2006/relationships/hyperlink" Target="https://flywoo.net/products/2pcs-explorer-1000mah-hv-2s-80c-lipo-battery-for-micro-quad-xt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3E6D2-C9F3-424F-BD70-70BA600C4D17}">
  <dimension ref="A1:D28"/>
  <sheetViews>
    <sheetView workbookViewId="0">
      <selection activeCell="B3" sqref="B3"/>
    </sheetView>
  </sheetViews>
  <sheetFormatPr defaultRowHeight="14.45"/>
  <cols>
    <col min="1" max="1" width="54.85546875" customWidth="1"/>
    <col min="2" max="2" width="15.42578125" customWidth="1"/>
  </cols>
  <sheetData>
    <row r="1" spans="1:4">
      <c r="A1" s="4" t="s">
        <v>0</v>
      </c>
      <c r="B1" s="4" t="s">
        <v>1</v>
      </c>
      <c r="D1" t="s">
        <v>2</v>
      </c>
    </row>
    <row r="2" spans="1:4">
      <c r="A2" t="s">
        <v>3</v>
      </c>
      <c r="B2" s="3">
        <v>94</v>
      </c>
      <c r="D2" t="s">
        <v>4</v>
      </c>
    </row>
    <row r="3" spans="1:4">
      <c r="A3" t="s">
        <v>5</v>
      </c>
      <c r="B3" s="3">
        <v>1</v>
      </c>
      <c r="D3" t="s">
        <v>6</v>
      </c>
    </row>
    <row r="4" spans="1:4">
      <c r="A4" t="s">
        <v>7</v>
      </c>
      <c r="B4" s="3">
        <v>3</v>
      </c>
      <c r="D4" t="s">
        <v>8</v>
      </c>
    </row>
    <row r="5" spans="1:4">
      <c r="A5" t="s">
        <v>9</v>
      </c>
      <c r="B5" s="3">
        <v>4</v>
      </c>
      <c r="D5" t="s">
        <v>10</v>
      </c>
    </row>
    <row r="6" spans="1:4">
      <c r="A6" t="s">
        <v>11</v>
      </c>
      <c r="B6" s="3">
        <v>11.1</v>
      </c>
      <c r="D6" t="s">
        <v>12</v>
      </c>
    </row>
    <row r="7" spans="1:4">
      <c r="A7" t="s">
        <v>13</v>
      </c>
      <c r="B7" s="3">
        <v>3</v>
      </c>
      <c r="D7" t="s">
        <v>14</v>
      </c>
    </row>
    <row r="8" spans="1:4">
      <c r="A8" s="5" t="s">
        <v>15</v>
      </c>
      <c r="B8" s="5" cm="1">
        <f t="array" ref="B8">MAX(IF(ISNUMBER(Motors!A:A),Motors!A:A))</f>
        <v>2</v>
      </c>
      <c r="D8" t="s">
        <v>16</v>
      </c>
    </row>
    <row r="12" spans="1:4" s="2" customFormat="1" ht="15">
      <c r="A12" s="8" t="s">
        <v>17</v>
      </c>
    </row>
    <row r="13" spans="1:4" s="2" customFormat="1" ht="15">
      <c r="A13" s="6" t="s">
        <v>18</v>
      </c>
    </row>
    <row r="14" spans="1:4" s="2" customFormat="1" ht="43.5">
      <c r="A14" s="7" t="s">
        <v>19</v>
      </c>
    </row>
    <row r="15" spans="1:4" s="2" customFormat="1" ht="15"/>
    <row r="16" spans="1:4" s="2" customFormat="1" ht="15">
      <c r="A16" s="8" t="s">
        <v>20</v>
      </c>
    </row>
    <row r="17" spans="1:1" s="2" customFormat="1" ht="43.5">
      <c r="A17" s="6" t="s">
        <v>21</v>
      </c>
    </row>
    <row r="18" spans="1:1" s="2" customFormat="1" ht="57.75">
      <c r="A18" s="6" t="s">
        <v>22</v>
      </c>
    </row>
    <row r="19" spans="1:1" s="2" customFormat="1" ht="15">
      <c r="A19" s="7" t="s">
        <v>23</v>
      </c>
    </row>
    <row r="20" spans="1:1" s="2" customFormat="1" ht="15"/>
    <row r="21" spans="1:1" s="2" customFormat="1" ht="15"/>
    <row r="22" spans="1:1" s="2" customFormat="1" ht="15"/>
    <row r="23" spans="1:1" s="2" customFormat="1" ht="15"/>
    <row r="24" spans="1:1" s="2" customFormat="1" ht="15"/>
    <row r="25" spans="1:1" ht="15">
      <c r="A25" s="2"/>
    </row>
    <row r="26" spans="1:1" ht="15">
      <c r="A26" s="2"/>
    </row>
    <row r="27" spans="1:1" ht="15">
      <c r="A27" s="2"/>
    </row>
    <row r="28" spans="1:1" ht="15">
      <c r="A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6399-2420-4418-88F2-0A096F1F7465}">
  <dimension ref="A1:O115"/>
  <sheetViews>
    <sheetView tabSelected="1" zoomScale="118" workbookViewId="0">
      <pane ySplit="1" topLeftCell="A2" activePane="bottomLeft" state="frozen"/>
      <selection pane="bottomLeft" activeCell="M13" sqref="M13"/>
    </sheetView>
  </sheetViews>
  <sheetFormatPr defaultColWidth="9.140625" defaultRowHeight="15" customHeight="1"/>
  <cols>
    <col min="1" max="1" width="15.7109375" customWidth="1"/>
    <col min="2" max="2" width="11.85546875" customWidth="1"/>
    <col min="3" max="3" width="9.140625" customWidth="1"/>
    <col min="4" max="4" width="30.5703125" hidden="1" customWidth="1"/>
    <col min="5" max="5" width="9.140625" customWidth="1"/>
    <col min="6" max="6" width="15.42578125" hidden="1" customWidth="1"/>
    <col min="7" max="7" width="19" hidden="1" customWidth="1"/>
    <col min="8" max="9" width="15.42578125" hidden="1" customWidth="1"/>
    <col min="10" max="10" width="13" hidden="1" customWidth="1"/>
    <col min="11" max="11" width="17.85546875" hidden="1" customWidth="1"/>
    <col min="12" max="12" width="18" customWidth="1"/>
    <col min="13" max="14" width="18.140625" customWidth="1"/>
    <col min="15" max="15" width="24.85546875" customWidth="1"/>
  </cols>
  <sheetData>
    <row r="1" spans="1:15" s="2" customFormat="1" ht="43.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</row>
    <row r="2" spans="1:15" ht="14.45">
      <c r="A2">
        <f>MOD(ROW()-2, Calculations!$B$8) + 1</f>
        <v>1</v>
      </c>
      <c r="B2">
        <f>INT((ROW()-2)/Calculations!$B$8) + 1</f>
        <v>1</v>
      </c>
      <c r="C2">
        <f>Calculations!$B$2+_xlfn.XLOOKUP(A2, Motors!A:A, Motors!D:D)*Calculations!$B$5+_xlfn.XLOOKUP(B2, Batteries!A:A, Batteries!C:C)</f>
        <v>191.6</v>
      </c>
      <c r="D2">
        <f>C2*Calculations!$B$4/Calculations!$B$5</f>
        <v>143.69999999999999</v>
      </c>
      <c r="E2">
        <f>F2*4/C2</f>
        <v>3.2686847599164928</v>
      </c>
      <c r="F2" s="2">
        <f>_xlfn.MAXIFS(Motors!$E$2:$E$75, Motors!$A$2:$A$75, A2)</f>
        <v>156.57</v>
      </c>
      <c r="G2" cm="1">
        <f t="array" ref="G2">INDEX(_xlfn._xlws.FILTER(Motors!$J$2:$J$75, Motors!$A$2:$A$75='Results (DO NOT EDIT)'!$A2), MATCH(TRUE, INDEX(ABS(_xlfn._xlws.FILTER(Motors!$G$2:$G$75, Motors!$A$2:$A$75='Results (DO NOT EDIT)'!$A2) - 'Results (DO NOT EDIT)'!$D2) = MIN(INDEX(ABS(_xlfn._xlws.FILTER(Motors!$G$2:$G$75, Motors!$A$2:$A$75='Results (DO NOT EDIT)'!$A2) - 'Results (DO NOT EDIT)'!$D2), 0)), 0), 0))</f>
        <v>6.1315315315315315</v>
      </c>
      <c r="H2" s="2" cm="1">
        <f t="array" ref="H2">INDEX(
  Motors!$I$2:$I$75,
  MATCH(1, (Motors!$A$2:$A$75='Results (DO NOT EDIT)'!A2)*(Motors!$J$2:$J$75='Results (DO NOT EDIT)'!G2), 0)
)</f>
        <v>2.3004701733764326</v>
      </c>
      <c r="I2" s="2" cm="1">
        <f t="array" ref="I2">_xlfn.XLOOKUP(A2, Batteries!A:A, Batteries!E:E*Batteries!F:F)/1000</f>
        <v>72</v>
      </c>
      <c r="J2" s="2" cm="1">
        <f t="array" ref="J2">_xlfn.XLOOKUP(B2, Batteries!A:A, Batteries!E:E*Batteries!G:G)/1000</f>
        <v>72</v>
      </c>
      <c r="K2">
        <f>C2/H2/Calculations!$B$6 + Calculations!$B$3</f>
        <v>8.5033623391546378</v>
      </c>
      <c r="L2">
        <f>(C2*Calculations!$B$7/H2/Calculations!$B$6)</f>
        <v>22.51008701746391</v>
      </c>
      <c r="M2">
        <f>(C2*Calculations!$B$7/H2/Calculations!$B$6) + Calculations!$B$3</f>
        <v>23.51008701746391</v>
      </c>
      <c r="N2">
        <f>_xlfn.XLOOKUP(B2, Batteries!A:A, Batteries!E:E)/1000*60/K2</f>
        <v>6.3504291415821772</v>
      </c>
      <c r="O2">
        <f>_xlfn.XLOOKUP(A2, Motors!A:A, Motors!F:F)*4+_xlfn.XLOOKUP('Results (DO NOT EDIT)'!B2, Batteries!A:A, Batteries!D:D)</f>
        <v>75</v>
      </c>
    </row>
    <row r="3" spans="1:15" ht="14.45">
      <c r="A3">
        <f>MOD(ROW()-2, Calculations!$B$8) + 1</f>
        <v>2</v>
      </c>
      <c r="B3">
        <f>INT((ROW()-2)/Calculations!$B$8) + 1</f>
        <v>1</v>
      </c>
      <c r="C3">
        <f>Calculations!$B$2+_xlfn.XLOOKUP(A3, Motors!A:A, Motors!D:D)*Calculations!$B$5+_xlfn.XLOOKUP(B3, Batteries!A:A, Batteries!C:C)</f>
        <v>188</v>
      </c>
      <c r="D3">
        <f>C3*Calculations!$B$4/Calculations!$B$5</f>
        <v>141</v>
      </c>
      <c r="E3">
        <f t="shared" ref="E3:E66" si="0">F3*4/C3</f>
        <v>2.4468085106382977</v>
      </c>
      <c r="F3" s="2">
        <f>_xlfn.MAXIFS(Motors!$E$2:$E$75, Motors!$A$2:$A$75, A3)</f>
        <v>115</v>
      </c>
      <c r="G3" cm="1">
        <f t="array" ref="G3">INDEX(_xlfn._xlws.FILTER(Motors!$J$2:$J$75, Motors!$A$2:$A$75='Results (DO NOT EDIT)'!$A3), MATCH(TRUE, INDEX(ABS(_xlfn._xlws.FILTER(Motors!$G$2:$G$75, Motors!$A$2:$A$75='Results (DO NOT EDIT)'!$A3) - 'Results (DO NOT EDIT)'!$D3) = MIN(INDEX(ABS(_xlfn._xlws.FILTER(Motors!$G$2:$G$75, Motors!$A$2:$A$75='Results (DO NOT EDIT)'!$A3) - 'Results (DO NOT EDIT)'!$D3), 0)), 0), 0))</f>
        <v>3.6036036036036037</v>
      </c>
      <c r="H3" s="2" cm="1">
        <f t="array" ref="H3">INDEX(
  Motors!$I$2:$I$75,
  MATCH(1, (Motors!$A$2:$A$75='Results (DO NOT EDIT)'!A3)*(Motors!$J$2:$J$75='Results (DO NOT EDIT)'!G3), 0)
)</f>
        <v>2.875</v>
      </c>
      <c r="I3" s="2" cm="1">
        <f t="array" ref="I3">_xlfn.XLOOKUP(A3, Batteries!A:A, Batteries!E:E*Batteries!F:F)/1000</f>
        <v>52.25</v>
      </c>
      <c r="J3" s="2" cm="1">
        <f t="array" ref="J3">_xlfn.XLOOKUP(B3, Batteries!A:A, Batteries!E:E*Batteries!G:G)/1000</f>
        <v>72</v>
      </c>
      <c r="K3">
        <f>C3/H3/Calculations!$B$6 + Calculations!$B$3</f>
        <v>6.8911084998041527</v>
      </c>
      <c r="L3">
        <f>(C3*Calculations!$B$7/H3/Calculations!$B$6)</f>
        <v>17.673325499412456</v>
      </c>
      <c r="M3">
        <f>(C3*Calculations!$B$7/H3/Calculations!$B$6) + Calculations!$B$3</f>
        <v>18.673325499412456</v>
      </c>
      <c r="N3">
        <f>_xlfn.XLOOKUP(B3, Batteries!A:A, Batteries!E:E)/1000*60/K3</f>
        <v>7.8361848462456649</v>
      </c>
      <c r="O3">
        <f>_xlfn.XLOOKUP(A3, Motors!A:A, Motors!F:F)*4+_xlfn.XLOOKUP('Results (DO NOT EDIT)'!B3, Batteries!A:A, Batteries!D:D)</f>
        <v>77</v>
      </c>
    </row>
    <row r="4" spans="1:15" ht="14.45">
      <c r="A4">
        <f>MOD(ROW()-2, Calculations!$B$8) + 1</f>
        <v>1</v>
      </c>
      <c r="B4">
        <f>INT((ROW()-2)/Calculations!$B$8) + 1</f>
        <v>2</v>
      </c>
      <c r="C4">
        <f>Calculations!$B$2+_xlfn.XLOOKUP(A4, Motors!A:A, Motors!D:D)*Calculations!$B$5+_xlfn.XLOOKUP(B4, Batteries!A:A, Batteries!C:C)</f>
        <v>169.6</v>
      </c>
      <c r="D4">
        <f>C4*Calculations!$B$4/Calculations!$B$5</f>
        <v>127.19999999999999</v>
      </c>
      <c r="E4">
        <f t="shared" si="0"/>
        <v>3.6926886792452831</v>
      </c>
      <c r="F4" s="2">
        <f>_xlfn.MAXIFS(Motors!$E$2:$E$75, Motors!$A$2:$A$75, A4)</f>
        <v>156.57</v>
      </c>
      <c r="G4" cm="1">
        <f t="array" ref="G4">INDEX(_xlfn._xlws.FILTER(Motors!$J$2:$J$75, Motors!$A$2:$A$75='Results (DO NOT EDIT)'!$A4), MATCH(TRUE, INDEX(ABS(_xlfn._xlws.FILTER(Motors!$G$2:$G$75, Motors!$A$2:$A$75='Results (DO NOT EDIT)'!$A4) - 'Results (DO NOT EDIT)'!$D4) = MIN(INDEX(ABS(_xlfn._xlws.FILTER(Motors!$G$2:$G$75, Motors!$A$2:$A$75='Results (DO NOT EDIT)'!$A4) - 'Results (DO NOT EDIT)'!$D4), 0)), 0), 0))</f>
        <v>4.5288288288288294</v>
      </c>
      <c r="H4" s="2" cm="1">
        <f t="array" ref="H4">INDEX(
  Motors!$I$2:$I$75,
  MATCH(1, (Motors!$A$2:$A$75='Results (DO NOT EDIT)'!A4)*(Motors!$J$2:$J$75='Results (DO NOT EDIT)'!G4), 0)
)</f>
        <v>2.5830515217823748</v>
      </c>
      <c r="I4" s="2" cm="1">
        <f t="array" ref="I4">_xlfn.XLOOKUP(A4, Batteries!A:A, Batteries!E:E*Batteries!F:F)/1000</f>
        <v>72</v>
      </c>
      <c r="J4" s="2" cm="1">
        <f t="array" ref="J4">_xlfn.XLOOKUP(B4, Batteries!A:A, Batteries!E:E*Batteries!G:G)/1000</f>
        <v>52.25</v>
      </c>
      <c r="K4">
        <f>C4/H4/Calculations!$B$6 + Calculations!$B$3</f>
        <v>6.915205000919288</v>
      </c>
      <c r="L4">
        <f>(C4*Calculations!$B$7/H4/Calculations!$B$6)</f>
        <v>17.745615002757862</v>
      </c>
      <c r="M4">
        <f>(C4*Calculations!$B$7/H4/Calculations!$B$6) + Calculations!$B$3</f>
        <v>18.745615002757862</v>
      </c>
      <c r="N4">
        <f>_xlfn.XLOOKUP(B4, Batteries!A:A, Batteries!E:E)/1000*60/K4</f>
        <v>4.7720928006636205</v>
      </c>
      <c r="O4">
        <f>_xlfn.XLOOKUP(A4, Motors!A:A, Motors!F:F)*4+_xlfn.XLOOKUP('Results (DO NOT EDIT)'!B4, Batteries!A:A, Batteries!D:D)</f>
        <v>76</v>
      </c>
    </row>
    <row r="5" spans="1:15" ht="14.45">
      <c r="A5">
        <f>MOD(ROW()-2, Calculations!$B$8) + 1</f>
        <v>2</v>
      </c>
      <c r="B5">
        <f>INT((ROW()-2)/Calculations!$B$8) + 1</f>
        <v>2</v>
      </c>
      <c r="C5">
        <f>Calculations!$B$2+_xlfn.XLOOKUP(A5, Motors!A:A, Motors!D:D)*Calculations!$B$5+_xlfn.XLOOKUP(B5, Batteries!A:A, Batteries!C:C)</f>
        <v>166</v>
      </c>
      <c r="D5">
        <f>C5*Calculations!$B$4/Calculations!$B$5</f>
        <v>124.5</v>
      </c>
      <c r="E5">
        <f t="shared" si="0"/>
        <v>2.7710843373493974</v>
      </c>
      <c r="F5" s="2">
        <f>_xlfn.MAXIFS(Motors!$E$2:$E$75, Motors!$A$2:$A$75, A5)</f>
        <v>115</v>
      </c>
      <c r="G5" cm="1">
        <f t="array" ref="G5">INDEX(_xlfn._xlws.FILTER(Motors!$J$2:$J$75, Motors!$A$2:$A$75='Results (DO NOT EDIT)'!$A5), MATCH(TRUE, INDEX(ABS(_xlfn._xlws.FILTER(Motors!$G$2:$G$75, Motors!$A$2:$A$75='Results (DO NOT EDIT)'!$A5) - 'Results (DO NOT EDIT)'!$D5) = MIN(INDEX(ABS(_xlfn._xlws.FILTER(Motors!$G$2:$G$75, Motors!$A$2:$A$75='Results (DO NOT EDIT)'!$A5) - 'Results (DO NOT EDIT)'!$D5), 0)), 0), 0))</f>
        <v>3.6036036036036037</v>
      </c>
      <c r="H5" s="2" cm="1">
        <f t="array" ref="H5">INDEX(
  Motors!$I$2:$I$75,
  MATCH(1, (Motors!$A$2:$A$75='Results (DO NOT EDIT)'!A5)*(Motors!$J$2:$J$75='Results (DO NOT EDIT)'!G5), 0)
)</f>
        <v>2.875</v>
      </c>
      <c r="I5" s="2" cm="1">
        <f t="array" ref="I5">_xlfn.XLOOKUP(A5, Batteries!A:A, Batteries!E:E*Batteries!F:F)/1000</f>
        <v>52.25</v>
      </c>
      <c r="J5" s="2" cm="1">
        <f t="array" ref="J5">_xlfn.XLOOKUP(B5, Batteries!A:A, Batteries!E:E*Batteries!G:G)/1000</f>
        <v>52.25</v>
      </c>
      <c r="K5">
        <f>C5/H5/Calculations!$B$6 + Calculations!$B$3</f>
        <v>6.2017234625930282</v>
      </c>
      <c r="L5">
        <f>(C5*Calculations!$B$7/H5/Calculations!$B$6)</f>
        <v>15.605170387779083</v>
      </c>
      <c r="M5">
        <f>(C5*Calculations!$B$7/H5/Calculations!$B$6) + Calculations!$B$3</f>
        <v>16.605170387779083</v>
      </c>
      <c r="N5">
        <f>_xlfn.XLOOKUP(B5, Batteries!A:A, Batteries!E:E)/1000*60/K5</f>
        <v>5.3211014968736183</v>
      </c>
      <c r="O5">
        <f>_xlfn.XLOOKUP(A5, Motors!A:A, Motors!F:F)*4+_xlfn.XLOOKUP('Results (DO NOT EDIT)'!B5, Batteries!A:A, Batteries!D:D)</f>
        <v>78</v>
      </c>
    </row>
    <row r="6" spans="1:15">
      <c r="A6">
        <f>MOD(ROW()-2, Calculations!$B$8) + 1</f>
        <v>1</v>
      </c>
      <c r="B6">
        <f>INT((ROW()-2)/Calculations!$B$8) + 1</f>
        <v>3</v>
      </c>
      <c r="C6">
        <f>Calculations!$B$2+_xlfn.XLOOKUP(A6, Motors!A:A, Motors!D:D)*Calculations!$B$5+_xlfn.XLOOKUP(B6, Batteries!A:A, Batteries!C:C)</f>
        <v>171.6</v>
      </c>
      <c r="D6">
        <f>C6*Calculations!$B$4/Calculations!$B$5</f>
        <v>128.69999999999999</v>
      </c>
      <c r="E6">
        <f t="shared" si="0"/>
        <v>3.6496503496503494</v>
      </c>
      <c r="F6" s="2">
        <f>_xlfn.MAXIFS(Motors!$E$2:$E$75, Motors!$A$2:$A$75, A6)</f>
        <v>156.57</v>
      </c>
      <c r="G6" cm="1">
        <f t="array" ref="G6">INDEX(_xlfn._xlws.FILTER(Motors!$J$2:$J$75, Motors!$A$2:$A$75='Results (DO NOT EDIT)'!$A6), MATCH(TRUE, INDEX(ABS(_xlfn._xlws.FILTER(Motors!$G$2:$G$75, Motors!$A$2:$A$75='Results (DO NOT EDIT)'!$A6) - 'Results (DO NOT EDIT)'!$D6) = MIN(INDEX(ABS(_xlfn._xlws.FILTER(Motors!$G$2:$G$75, Motors!$A$2:$A$75='Results (DO NOT EDIT)'!$A6) - 'Results (DO NOT EDIT)'!$D6), 0)), 0), 0))</f>
        <v>4.5288288288288294</v>
      </c>
      <c r="H6" s="2" cm="1">
        <f t="array" ref="H6">INDEX(
  Motors!$I$2:$I$75,
  MATCH(1, (Motors!$A$2:$A$75='Results (DO NOT EDIT)'!A6)*(Motors!$J$2:$J$75='Results (DO NOT EDIT)'!G6), 0)
)</f>
        <v>2.5830515217823748</v>
      </c>
      <c r="I6" s="2" cm="1">
        <f t="array" ref="I6">_xlfn.XLOOKUP(A6, Batteries!A:A, Batteries!E:E*Batteries!F:F)/1000</f>
        <v>72</v>
      </c>
      <c r="J6" s="2" cm="1">
        <f t="array" ref="J6">_xlfn.XLOOKUP(B6, Batteries!A:A, Batteries!E:E*Batteries!G:G)/1000</f>
        <v>39</v>
      </c>
      <c r="K6">
        <f>C6/H6/Calculations!$B$6 + Calculations!$B$3</f>
        <v>6.9849597768735245</v>
      </c>
      <c r="L6">
        <f>(C6*Calculations!$B$7/H6/Calculations!$B$6)</f>
        <v>17.954879330620571</v>
      </c>
      <c r="M6">
        <f>(C6*Calculations!$B$7/H6/Calculations!$B$6) + Calculations!$B$3</f>
        <v>18.954879330620571</v>
      </c>
      <c r="N6">
        <f>_xlfn.XLOOKUP(B6, Batteries!A:A, Batteries!E:E)/1000*60/K6</f>
        <v>5.5834251371246184</v>
      </c>
      <c r="O6">
        <f>_xlfn.XLOOKUP(A6, Motors!A:A, Motors!F:F)*4+_xlfn.XLOOKUP('Results (DO NOT EDIT)'!B6, Batteries!A:A, Batteries!D:D)</f>
        <v>76</v>
      </c>
    </row>
    <row r="7" spans="1:15" ht="14.45">
      <c r="A7">
        <f>MOD(ROW()-2, Calculations!$B$8) + 1</f>
        <v>2</v>
      </c>
      <c r="B7">
        <f>INT((ROW()-2)/Calculations!$B$8) + 1</f>
        <v>3</v>
      </c>
      <c r="C7">
        <f>Calculations!$B$2+_xlfn.XLOOKUP(A7, Motors!A:A, Motors!D:D)*Calculations!$B$5+_xlfn.XLOOKUP(B7, Batteries!A:A, Batteries!C:C)</f>
        <v>168</v>
      </c>
      <c r="D7">
        <f>C7*Calculations!$B$4/Calculations!$B$5</f>
        <v>126</v>
      </c>
      <c r="E7">
        <f t="shared" si="0"/>
        <v>2.7380952380952381</v>
      </c>
      <c r="F7" s="2">
        <f>_xlfn.MAXIFS(Motors!$E$2:$E$75, Motors!$A$2:$A$75, A7)</f>
        <v>115</v>
      </c>
      <c r="G7" cm="1">
        <f t="array" ref="G7">INDEX(_xlfn._xlws.FILTER(Motors!$J$2:$J$75, Motors!$A$2:$A$75='Results (DO NOT EDIT)'!$A7), MATCH(TRUE, INDEX(ABS(_xlfn._xlws.FILTER(Motors!$G$2:$G$75, Motors!$A$2:$A$75='Results (DO NOT EDIT)'!$A7) - 'Results (DO NOT EDIT)'!$D7) = MIN(INDEX(ABS(_xlfn._xlws.FILTER(Motors!$G$2:$G$75, Motors!$A$2:$A$75='Results (DO NOT EDIT)'!$A7) - 'Results (DO NOT EDIT)'!$D7), 0)), 0), 0))</f>
        <v>3.6036036036036037</v>
      </c>
      <c r="H7" s="2" cm="1">
        <f t="array" ref="H7">INDEX(
  Motors!$I$2:$I$75,
  MATCH(1, (Motors!$A$2:$A$75='Results (DO NOT EDIT)'!A7)*(Motors!$J$2:$J$75='Results (DO NOT EDIT)'!G7), 0)
)</f>
        <v>2.875</v>
      </c>
      <c r="I7" s="2" cm="1">
        <f t="array" ref="I7">_xlfn.XLOOKUP(A7, Batteries!A:A, Batteries!E:E*Batteries!F:F)/1000</f>
        <v>52.25</v>
      </c>
      <c r="J7" s="2" cm="1">
        <f t="array" ref="J7">_xlfn.XLOOKUP(B7, Batteries!A:A, Batteries!E:E*Batteries!G:G)/1000</f>
        <v>39</v>
      </c>
      <c r="K7">
        <f>C7/H7/Calculations!$B$6 + Calculations!$B$3</f>
        <v>6.2643948296122209</v>
      </c>
      <c r="L7">
        <f>(C7*Calculations!$B$7/H7/Calculations!$B$6)</f>
        <v>15.793184488836664</v>
      </c>
      <c r="M7">
        <f>(C7*Calculations!$B$7/H7/Calculations!$B$6) + Calculations!$B$3</f>
        <v>16.793184488836665</v>
      </c>
      <c r="N7">
        <f>_xlfn.XLOOKUP(B7, Batteries!A:A, Batteries!E:E)/1000*60/K7</f>
        <v>6.2256612267867188</v>
      </c>
      <c r="O7">
        <f>_xlfn.XLOOKUP(A7, Motors!A:A, Motors!F:F)*4+_xlfn.XLOOKUP('Results (DO NOT EDIT)'!B7, Batteries!A:A, Batteries!D:D)</f>
        <v>78</v>
      </c>
    </row>
    <row r="8" spans="1:15" ht="14.45">
      <c r="A8">
        <f>MOD(ROW()-2, Calculations!$B$8) + 1</f>
        <v>1</v>
      </c>
      <c r="B8">
        <f>INT((ROW()-2)/Calculations!$B$8) + 1</f>
        <v>4</v>
      </c>
      <c r="C8">
        <f>Calculations!$B$2+_xlfn.XLOOKUP(A8, Motors!A:A, Motors!D:D)*Calculations!$B$5+_xlfn.XLOOKUP(B8, Batteries!A:A, Batteries!C:C)</f>
        <v>186.6</v>
      </c>
      <c r="D8">
        <f>C8*Calculations!$B$4/Calculations!$B$5</f>
        <v>139.94999999999999</v>
      </c>
      <c r="E8">
        <f t="shared" si="0"/>
        <v>3.3562700964630223</v>
      </c>
      <c r="F8" s="2">
        <f>_xlfn.MAXIFS(Motors!$E$2:$E$75, Motors!$A$2:$A$75, A8)</f>
        <v>156.57</v>
      </c>
      <c r="G8" cm="1">
        <f t="array" ref="G8">INDEX(_xlfn._xlws.FILTER(Motors!$J$2:$J$75, Motors!$A$2:$A$75='Results (DO NOT EDIT)'!$A8), MATCH(TRUE, INDEX(ABS(_xlfn._xlws.FILTER(Motors!$G$2:$G$75, Motors!$A$2:$A$75='Results (DO NOT EDIT)'!$A8) - 'Results (DO NOT EDIT)'!$D8) = MIN(INDEX(ABS(_xlfn._xlws.FILTER(Motors!$G$2:$G$75, Motors!$A$2:$A$75='Results (DO NOT EDIT)'!$A8) - 'Results (DO NOT EDIT)'!$D8), 0)), 0), 0))</f>
        <v>4.5288288288288294</v>
      </c>
      <c r="H8" s="2" cm="1">
        <f t="array" ref="H8">INDEX(
  Motors!$I$2:$I$75,
  MATCH(1, (Motors!$A$2:$A$75='Results (DO NOT EDIT)'!A8)*(Motors!$J$2:$J$75='Results (DO NOT EDIT)'!G8), 0)
)</f>
        <v>2.5830515217823748</v>
      </c>
      <c r="I8" s="2" cm="1">
        <f t="array" ref="I8">_xlfn.XLOOKUP(A8, Batteries!A:A, Batteries!E:E*Batteries!F:F)/1000</f>
        <v>72</v>
      </c>
      <c r="J8" s="2" cm="1">
        <f t="array" ref="J8">_xlfn.XLOOKUP(B8, Batteries!A:A, Batteries!E:E*Batteries!G:G)/1000</f>
        <v>90</v>
      </c>
      <c r="K8">
        <f>C8/H8/Calculations!$B$6 + Calculations!$B$3</f>
        <v>7.5081205965303006</v>
      </c>
      <c r="L8">
        <f>(C8*Calculations!$B$7/H8/Calculations!$B$6)</f>
        <v>19.524361789590902</v>
      </c>
      <c r="M8">
        <f>(C8*Calculations!$B$7/H8/Calculations!$B$6) + Calculations!$B$3</f>
        <v>20.524361789590902</v>
      </c>
      <c r="N8">
        <f>_xlfn.XLOOKUP(B8, Batteries!A:A, Batteries!E:E)/1000*60/K8</f>
        <v>5.9935105492039753</v>
      </c>
      <c r="O8">
        <f>_xlfn.XLOOKUP(A8, Motors!A:A, Motors!F:F)*4+_xlfn.XLOOKUP('Results (DO NOT EDIT)'!B8, Batteries!A:A, Batteries!D:D)</f>
        <v>78</v>
      </c>
    </row>
    <row r="9" spans="1:15" ht="14.45">
      <c r="A9">
        <f>MOD(ROW()-2, Calculations!$B$8) + 1</f>
        <v>2</v>
      </c>
      <c r="B9">
        <f>INT((ROW()-2)/Calculations!$B$8) + 1</f>
        <v>4</v>
      </c>
      <c r="C9">
        <f>Calculations!$B$2+_xlfn.XLOOKUP(A9, Motors!A:A, Motors!D:D)*Calculations!$B$5+_xlfn.XLOOKUP(B9, Batteries!A:A, Batteries!C:C)</f>
        <v>183</v>
      </c>
      <c r="D9">
        <f>C9*Calculations!$B$4/Calculations!$B$5</f>
        <v>137.25</v>
      </c>
      <c r="E9">
        <f t="shared" si="0"/>
        <v>2.5136612021857925</v>
      </c>
      <c r="F9" s="2">
        <f>_xlfn.MAXIFS(Motors!$E$2:$E$75, Motors!$A$2:$A$75, A9)</f>
        <v>115</v>
      </c>
      <c r="G9" cm="1">
        <f t="array" ref="G9">INDEX(_xlfn._xlws.FILTER(Motors!$J$2:$J$75, Motors!$A$2:$A$75='Results (DO NOT EDIT)'!$A9), MATCH(TRUE, INDEX(ABS(_xlfn._xlws.FILTER(Motors!$G$2:$G$75, Motors!$A$2:$A$75='Results (DO NOT EDIT)'!$A9) - 'Results (DO NOT EDIT)'!$D9) = MIN(INDEX(ABS(_xlfn._xlws.FILTER(Motors!$G$2:$G$75, Motors!$A$2:$A$75='Results (DO NOT EDIT)'!$A9) - 'Results (DO NOT EDIT)'!$D9), 0)), 0), 0))</f>
        <v>3.6036036036036037</v>
      </c>
      <c r="H9" s="2" cm="1">
        <f t="array" ref="H9">INDEX(
  Motors!$I$2:$I$75,
  MATCH(1, (Motors!$A$2:$A$75='Results (DO NOT EDIT)'!A9)*(Motors!$J$2:$J$75='Results (DO NOT EDIT)'!G9), 0)
)</f>
        <v>2.875</v>
      </c>
      <c r="I9" s="2" cm="1">
        <f t="array" ref="I9">_xlfn.XLOOKUP(A9, Batteries!A:A, Batteries!E:E*Batteries!F:F)/1000</f>
        <v>52.25</v>
      </c>
      <c r="J9" s="2" cm="1">
        <f t="array" ref="J9">_xlfn.XLOOKUP(B9, Batteries!A:A, Batteries!E:E*Batteries!G:G)/1000</f>
        <v>90</v>
      </c>
      <c r="K9">
        <f>C9/H9/Calculations!$B$6 + Calculations!$B$3</f>
        <v>6.7344300822561696</v>
      </c>
      <c r="L9">
        <f>(C9*Calculations!$B$7/H9/Calculations!$B$6)</f>
        <v>17.203290246768507</v>
      </c>
      <c r="M9">
        <f>(C9*Calculations!$B$7/H9/Calculations!$B$6) + Calculations!$B$3</f>
        <v>18.203290246768507</v>
      </c>
      <c r="N9">
        <f>_xlfn.XLOOKUP(B9, Batteries!A:A, Batteries!E:E)/1000*60/K9</f>
        <v>6.6820799162449829</v>
      </c>
      <c r="O9">
        <f>_xlfn.XLOOKUP(A9, Motors!A:A, Motors!F:F)*4+_xlfn.XLOOKUP('Results (DO NOT EDIT)'!B9, Batteries!A:A, Batteries!D:D)</f>
        <v>80</v>
      </c>
    </row>
    <row r="10" spans="1:15" ht="14.45">
      <c r="A10">
        <f>MOD(ROW()-2, Calculations!$B$8) + 1</f>
        <v>1</v>
      </c>
      <c r="B10">
        <f>INT((ROW()-2)/Calculations!$B$8) + 1</f>
        <v>5</v>
      </c>
      <c r="C10">
        <f>Calculations!$B$2+_xlfn.XLOOKUP(A10, Motors!A:A, Motors!D:D)*Calculations!$B$5+_xlfn.XLOOKUP(B10, Batteries!A:A, Batteries!C:C)</f>
        <v>190.6</v>
      </c>
      <c r="D10">
        <f>C10*Calculations!$B$4/Calculations!$B$5</f>
        <v>142.94999999999999</v>
      </c>
      <c r="E10">
        <f t="shared" si="0"/>
        <v>3.2858342077649527</v>
      </c>
      <c r="F10" s="2">
        <f>_xlfn.MAXIFS(Motors!$E$2:$E$75, Motors!$A$2:$A$75, A10)</f>
        <v>156.57</v>
      </c>
      <c r="G10" cm="1">
        <f t="array" ref="G10">INDEX(_xlfn._xlws.FILTER(Motors!$J$2:$J$75, Motors!$A$2:$A$75='Results (DO NOT EDIT)'!$A10), MATCH(TRUE, INDEX(ABS(_xlfn._xlws.FILTER(Motors!$G$2:$G$75, Motors!$A$2:$A$75='Results (DO NOT EDIT)'!$A10) - 'Results (DO NOT EDIT)'!$D10) = MIN(INDEX(ABS(_xlfn._xlws.FILTER(Motors!$G$2:$G$75, Motors!$A$2:$A$75='Results (DO NOT EDIT)'!$A10) - 'Results (DO NOT EDIT)'!$D10), 0)), 0), 0))</f>
        <v>4.5288288288288294</v>
      </c>
      <c r="H10" s="2" cm="1">
        <f t="array" ref="H10">INDEX(
  Motors!$I$2:$I$75,
  MATCH(1, (Motors!$A$2:$A$75='Results (DO NOT EDIT)'!A10)*(Motors!$J$2:$J$75='Results (DO NOT EDIT)'!G10), 0)
)</f>
        <v>2.5830515217823748</v>
      </c>
      <c r="I10" s="2" cm="1">
        <f t="array" ref="I10">_xlfn.XLOOKUP(A10, Batteries!A:A, Batteries!E:E*Batteries!F:F)/1000</f>
        <v>72</v>
      </c>
      <c r="J10" s="2" cm="1">
        <f t="array" ref="J10">_xlfn.XLOOKUP(B10, Batteries!A:A, Batteries!E:E*Batteries!G:G)/1000</f>
        <v>55</v>
      </c>
      <c r="K10">
        <f>C10/H10/Calculations!$B$6 + Calculations!$B$3</f>
        <v>7.6476301484387745</v>
      </c>
      <c r="L10">
        <f>(C10*Calculations!$B$7/H10/Calculations!$B$6)</f>
        <v>19.942890445316323</v>
      </c>
      <c r="M10">
        <f>(C10*Calculations!$B$7/H10/Calculations!$B$6) + Calculations!$B$3</f>
        <v>20.942890445316323</v>
      </c>
      <c r="N10">
        <f>_xlfn.XLOOKUP(B10, Batteries!A:A, Batteries!E:E)/1000*60/K10</f>
        <v>8.6301244593364093</v>
      </c>
      <c r="O10">
        <f>_xlfn.XLOOKUP(A10, Motors!A:A, Motors!F:F)*4+_xlfn.XLOOKUP('Results (DO NOT EDIT)'!B10, Batteries!A:A, Batteries!D:D)</f>
        <v>80</v>
      </c>
    </row>
    <row r="11" spans="1:15" ht="14.45">
      <c r="A11">
        <f>MOD(ROW()-2, Calculations!$B$8) + 1</f>
        <v>2</v>
      </c>
      <c r="B11">
        <f>INT((ROW()-2)/Calculations!$B$8) + 1</f>
        <v>5</v>
      </c>
      <c r="C11">
        <f>Calculations!$B$2+_xlfn.XLOOKUP(A11, Motors!A:A, Motors!D:D)*Calculations!$B$5+_xlfn.XLOOKUP(B11, Batteries!A:A, Batteries!C:C)</f>
        <v>187</v>
      </c>
      <c r="D11">
        <f>C11*Calculations!$B$4/Calculations!$B$5</f>
        <v>140.25</v>
      </c>
      <c r="E11">
        <f t="shared" si="0"/>
        <v>2.4598930481283423</v>
      </c>
      <c r="F11" s="2">
        <f>_xlfn.MAXIFS(Motors!$E$2:$E$75, Motors!$A$2:$A$75, A11)</f>
        <v>115</v>
      </c>
      <c r="G11" cm="1">
        <f t="array" ref="G11">INDEX(_xlfn._xlws.FILTER(Motors!$J$2:$J$75, Motors!$A$2:$A$75='Results (DO NOT EDIT)'!$A11), MATCH(TRUE, INDEX(ABS(_xlfn._xlws.FILTER(Motors!$G$2:$G$75, Motors!$A$2:$A$75='Results (DO NOT EDIT)'!$A11) - 'Results (DO NOT EDIT)'!$D11) = MIN(INDEX(ABS(_xlfn._xlws.FILTER(Motors!$G$2:$G$75, Motors!$A$2:$A$75='Results (DO NOT EDIT)'!$A11) - 'Results (DO NOT EDIT)'!$D11), 0)), 0), 0))</f>
        <v>3.6036036036036037</v>
      </c>
      <c r="H11" s="2" cm="1">
        <f t="array" ref="H11">INDEX(
  Motors!$I$2:$I$75,
  MATCH(1, (Motors!$A$2:$A$75='Results (DO NOT EDIT)'!A11)*(Motors!$J$2:$J$75='Results (DO NOT EDIT)'!G11), 0)
)</f>
        <v>2.875</v>
      </c>
      <c r="I11" s="2" cm="1">
        <f t="array" ref="I11">_xlfn.XLOOKUP(A11, Batteries!A:A, Batteries!E:E*Batteries!F:F)/1000</f>
        <v>52.25</v>
      </c>
      <c r="J11" s="2" cm="1">
        <f t="array" ref="J11">_xlfn.XLOOKUP(B11, Batteries!A:A, Batteries!E:E*Batteries!G:G)/1000</f>
        <v>55</v>
      </c>
      <c r="K11">
        <f>C11/H11/Calculations!$B$6 + Calculations!$B$3</f>
        <v>6.859772816294555</v>
      </c>
      <c r="L11">
        <f>(C11*Calculations!$B$7/H11/Calculations!$B$6)</f>
        <v>17.579318448883665</v>
      </c>
      <c r="M11">
        <f>(C11*Calculations!$B$7/H11/Calculations!$B$6) + Calculations!$B$3</f>
        <v>18.579318448883665</v>
      </c>
      <c r="N11">
        <f>_xlfn.XLOOKUP(B11, Batteries!A:A, Batteries!E:E)/1000*60/K11</f>
        <v>9.6213098840861075</v>
      </c>
      <c r="O11">
        <f>_xlfn.XLOOKUP(A11, Motors!A:A, Motors!F:F)*4+_xlfn.XLOOKUP('Results (DO NOT EDIT)'!B11, Batteries!A:A, Batteries!D:D)</f>
        <v>82</v>
      </c>
    </row>
    <row r="12" spans="1:15">
      <c r="A12">
        <f>MOD(ROW()-2, Calculations!$B$8) + 1</f>
        <v>1</v>
      </c>
      <c r="B12">
        <f>INT((ROW()-2)/Calculations!$B$8) + 1</f>
        <v>6</v>
      </c>
      <c r="C12">
        <f>Calculations!$B$2+_xlfn.XLOOKUP(A12, Motors!A:A, Motors!D:D)*Calculations!$B$5+_xlfn.XLOOKUP(B12, Batteries!A:A, Batteries!C:C)</f>
        <v>261.60000000000002</v>
      </c>
      <c r="D12">
        <f>C12*Calculations!$B$4/Calculations!$B$5</f>
        <v>196.20000000000002</v>
      </c>
      <c r="E12">
        <f t="shared" si="0"/>
        <v>2.3940366972477061</v>
      </c>
      <c r="F12" s="2">
        <f>_xlfn.MAXIFS(Motors!$E$2:$E$75, Motors!$A$2:$A$75, A12)</f>
        <v>156.57</v>
      </c>
      <c r="G12" cm="1">
        <f t="array" ref="G12">INDEX(_xlfn._xlws.FILTER(Motors!$J$2:$J$75, Motors!$A$2:$A$75='Results (DO NOT EDIT)'!$A12), MATCH(TRUE, INDEX(ABS(_xlfn._xlws.FILTER(Motors!$G$2:$G$75, Motors!$A$2:$A$75='Results (DO NOT EDIT)'!$A12) - 'Results (DO NOT EDIT)'!$D12) = MIN(INDEX(ABS(_xlfn._xlws.FILTER(Motors!$G$2:$G$75, Motors!$A$2:$A$75='Results (DO NOT EDIT)'!$A12) - 'Results (DO NOT EDIT)'!$D12), 0)), 0), 0))</f>
        <v>6.1315315315315315</v>
      </c>
      <c r="H12" s="2" cm="1">
        <f t="array" ref="H12">INDEX(
  Motors!$I$2:$I$75,
  MATCH(1, (Motors!$A$2:$A$75='Results (DO NOT EDIT)'!A12)*(Motors!$J$2:$J$75='Results (DO NOT EDIT)'!G12), 0)
)</f>
        <v>2.3004701733764326</v>
      </c>
      <c r="I12" s="2" cm="1">
        <f t="array" ref="I12">_xlfn.XLOOKUP(A12, Batteries!A:A, Batteries!E:E*Batteries!F:F)/1000</f>
        <v>72</v>
      </c>
      <c r="J12" s="2" cm="1">
        <f t="array" ref="J12">_xlfn.XLOOKUP(B12, Batteries!A:A, Batteries!E:E*Batteries!G:G)/1000</f>
        <v>300</v>
      </c>
      <c r="K12">
        <f>C12/H12/Calculations!$B$6 + Calculations!$B$3</f>
        <v>11.244674258470006</v>
      </c>
      <c r="L12">
        <f>(C12*Calculations!$B$7/H12/Calculations!$B$6)</f>
        <v>30.734022775410018</v>
      </c>
      <c r="M12">
        <f>(C12*Calculations!$B$7/H12/Calculations!$B$6) + Calculations!$B$3</f>
        <v>31.734022775410018</v>
      </c>
      <c r="N12">
        <f>_xlfn.XLOOKUP(B12, Batteries!A:A, Batteries!E:E)/1000*60/K12</f>
        <v>16.007577975361599</v>
      </c>
      <c r="O12">
        <f>_xlfn.XLOOKUP(A12, Motors!A:A, Motors!F:F)*4+_xlfn.XLOOKUP('Results (DO NOT EDIT)'!B12, Batteries!A:A, Batteries!D:D)</f>
        <v>96</v>
      </c>
    </row>
    <row r="13" spans="1:15" ht="14.45">
      <c r="A13">
        <f>MOD(ROW()-2, Calculations!$B$8) + 1</f>
        <v>2</v>
      </c>
      <c r="B13">
        <f>INT((ROW()-2)/Calculations!$B$8) + 1</f>
        <v>6</v>
      </c>
      <c r="C13">
        <f>Calculations!$B$2+_xlfn.XLOOKUP(A13, Motors!A:A, Motors!D:D)*Calculations!$B$5+_xlfn.XLOOKUP(B13, Batteries!A:A, Batteries!C:C)</f>
        <v>258</v>
      </c>
      <c r="D13">
        <f>C13*Calculations!$B$4/Calculations!$B$5</f>
        <v>193.5</v>
      </c>
      <c r="E13">
        <f t="shared" si="0"/>
        <v>1.7829457364341086</v>
      </c>
      <c r="F13" s="2">
        <f>_xlfn.MAXIFS(Motors!$E$2:$E$75, Motors!$A$2:$A$75, A13)</f>
        <v>115</v>
      </c>
      <c r="G13" cm="1">
        <f t="array" ref="G13">INDEX(_xlfn._xlws.FILTER(Motors!$J$2:$J$75, Motors!$A$2:$A$75='Results (DO NOT EDIT)'!$A13), MATCH(TRUE, INDEX(ABS(_xlfn._xlws.FILTER(Motors!$G$2:$G$75, Motors!$A$2:$A$75='Results (DO NOT EDIT)'!$A13) - 'Results (DO NOT EDIT)'!$D13) = MIN(INDEX(ABS(_xlfn._xlws.FILTER(Motors!$G$2:$G$75, Motors!$A$2:$A$75='Results (DO NOT EDIT)'!$A13) - 'Results (DO NOT EDIT)'!$D13), 0)), 0), 0))</f>
        <v>3.6036036036036037</v>
      </c>
      <c r="H13" s="2" cm="1">
        <f t="array" ref="H13">INDEX(
  Motors!$I$2:$I$75,
  MATCH(1, (Motors!$A$2:$A$75='Results (DO NOT EDIT)'!A13)*(Motors!$J$2:$J$75='Results (DO NOT EDIT)'!G13), 0)
)</f>
        <v>2.875</v>
      </c>
      <c r="I13" s="2" cm="1">
        <f t="array" ref="I13">_xlfn.XLOOKUP(A13, Batteries!A:A, Batteries!E:E*Batteries!F:F)/1000</f>
        <v>52.25</v>
      </c>
      <c r="J13" s="2" cm="1">
        <f t="array" ref="J13">_xlfn.XLOOKUP(B13, Batteries!A:A, Batteries!E:E*Batteries!G:G)/1000</f>
        <v>300</v>
      </c>
      <c r="K13">
        <f>C13/H13/Calculations!$B$6 + Calculations!$B$3</f>
        <v>9.0846063454759118</v>
      </c>
      <c r="L13">
        <f>(C13*Calculations!$B$7/H13/Calculations!$B$6)</f>
        <v>24.253819036427732</v>
      </c>
      <c r="M13">
        <f>(C13*Calculations!$B$7/H13/Calculations!$B$6) + Calculations!$B$3</f>
        <v>25.253819036427732</v>
      </c>
      <c r="N13">
        <f>_xlfn.XLOOKUP(B13, Batteries!A:A, Batteries!E:E)/1000*60/K13</f>
        <v>19.813736903376014</v>
      </c>
      <c r="O13">
        <f>_xlfn.XLOOKUP(A13, Motors!A:A, Motors!F:F)*4+_xlfn.XLOOKUP('Results (DO NOT EDIT)'!B13, Batteries!A:A, Batteries!D:D)</f>
        <v>98</v>
      </c>
    </row>
    <row r="14" spans="1:15" ht="14.45">
      <c r="A14">
        <f>MOD(ROW()-2, Calculations!$B$8) + 1</f>
        <v>1</v>
      </c>
      <c r="B14">
        <f>INT((ROW()-2)/Calculations!$B$8) + 1</f>
        <v>7</v>
      </c>
      <c r="C14" t="e">
        <f>Calculations!$B$2+_xlfn.XLOOKUP(A14, Motors!A:A, Motors!D:D)*Calculations!$B$5+_xlfn.XLOOKUP(B14, Batteries!A:A, Batteries!C:C)</f>
        <v>#N/A</v>
      </c>
      <c r="D14" t="e">
        <f>C14*Calculations!$B$4/Calculations!$B$5</f>
        <v>#N/A</v>
      </c>
      <c r="E14" t="e">
        <f t="shared" si="0"/>
        <v>#N/A</v>
      </c>
      <c r="F14" s="2">
        <f>_xlfn.MAXIFS(Motors!$E$2:$E$75, Motors!$A$2:$A$75, A14)</f>
        <v>156.57</v>
      </c>
      <c r="G14" t="e" cm="1">
        <f t="array" ref="G14">INDEX(_xlfn._xlws.FILTER(Motors!$J$2:$J$75, Motors!$A$2:$A$75='Results (DO NOT EDIT)'!$A14), MATCH(TRUE, INDEX(ABS(_xlfn._xlws.FILTER(Motors!$G$2:$G$75, Motors!$A$2:$A$75='Results (DO NOT EDIT)'!$A14) - 'Results (DO NOT EDIT)'!$D14) = MIN(INDEX(ABS(_xlfn._xlws.FILTER(Motors!$G$2:$G$75, Motors!$A$2:$A$75='Results (DO NOT EDIT)'!$A14) - 'Results (DO NOT EDIT)'!$D14), 0)), 0), 0))</f>
        <v>#N/A</v>
      </c>
      <c r="H14" s="2" t="e" cm="1">
        <f t="array" ref="H14">INDEX(
  Motors!$I$2:$I$75,
  MATCH(1, (Motors!$A$2:$A$75='Results (DO NOT EDIT)'!A14)*(Motors!$J$2:$J$75='Results (DO NOT EDIT)'!G14), 0)
)</f>
        <v>#N/A</v>
      </c>
      <c r="I14" s="2" cm="1">
        <f t="array" ref="I14">_xlfn.XLOOKUP(A14, Batteries!A:A, Batteries!E:E*Batteries!F:F)/1000</f>
        <v>72</v>
      </c>
      <c r="J14" s="2" t="e" cm="1">
        <f t="array" ref="J14">_xlfn.XLOOKUP(B14, Batteries!A:A, Batteries!E:E*Batteries!G:G)/1000</f>
        <v>#N/A</v>
      </c>
      <c r="K14" t="e">
        <f>C14/H14/Calculations!$B$6 + Calculations!$B$3</f>
        <v>#N/A</v>
      </c>
      <c r="L14" t="e">
        <f>(C14*Calculations!$B$7/H14/Calculations!$B$6)</f>
        <v>#N/A</v>
      </c>
      <c r="M14" t="e">
        <f>(C14*Calculations!$B$7/H14/Calculations!$B$6) + Calculations!$B$3</f>
        <v>#N/A</v>
      </c>
      <c r="N14" t="e">
        <f>_xlfn.XLOOKUP(B14, Batteries!A:A, Batteries!E:E)/1000*60/K14</f>
        <v>#N/A</v>
      </c>
      <c r="O14" t="e">
        <f>_xlfn.XLOOKUP(A14, Motors!A:A, Motors!F:F)*4+_xlfn.XLOOKUP('Results (DO NOT EDIT)'!B14, Batteries!A:A, Batteries!D:D)</f>
        <v>#N/A</v>
      </c>
    </row>
    <row r="15" spans="1:15" ht="15" customHeight="1">
      <c r="A15">
        <f>MOD(ROW()-2, Calculations!$B$8) + 1</f>
        <v>2</v>
      </c>
      <c r="B15">
        <f>INT((ROW()-2)/Calculations!$B$8) + 1</f>
        <v>7</v>
      </c>
      <c r="C15" t="e">
        <f>Calculations!$B$2+_xlfn.XLOOKUP(A15, Motors!A:A, Motors!D:D)*Calculations!$B$5+_xlfn.XLOOKUP(B15, Batteries!A:A, Batteries!C:C)</f>
        <v>#N/A</v>
      </c>
      <c r="D15" t="e">
        <f>C15*Calculations!$B$4/Calculations!$B$5</f>
        <v>#N/A</v>
      </c>
      <c r="E15" t="e">
        <f t="shared" si="0"/>
        <v>#N/A</v>
      </c>
      <c r="F15" s="2">
        <f>_xlfn.MAXIFS(Motors!$E$2:$E$75, Motors!$A$2:$A$75, A15)</f>
        <v>115</v>
      </c>
      <c r="G15" t="e" cm="1">
        <f t="array" ref="G15">INDEX(_xlfn._xlws.FILTER(Motors!$J$2:$J$75, Motors!$A$2:$A$75='Results (DO NOT EDIT)'!$A15), MATCH(TRUE, INDEX(ABS(_xlfn._xlws.FILTER(Motors!$G$2:$G$75, Motors!$A$2:$A$75='Results (DO NOT EDIT)'!$A15) - 'Results (DO NOT EDIT)'!$D15) = MIN(INDEX(ABS(_xlfn._xlws.FILTER(Motors!$G$2:$G$75, Motors!$A$2:$A$75='Results (DO NOT EDIT)'!$A15) - 'Results (DO NOT EDIT)'!$D15), 0)), 0), 0))</f>
        <v>#N/A</v>
      </c>
      <c r="H15" s="2" t="e" cm="1">
        <f t="array" ref="H15">INDEX(
  Motors!$I$2:$I$75,
  MATCH(1, (Motors!$A$2:$A$75='Results (DO NOT EDIT)'!A15)*(Motors!$J$2:$J$75='Results (DO NOT EDIT)'!G15), 0)
)</f>
        <v>#N/A</v>
      </c>
      <c r="I15" s="2" cm="1">
        <f t="array" ref="I15">_xlfn.XLOOKUP(A15, Batteries!A:A, Batteries!E:E*Batteries!F:F)/1000</f>
        <v>52.25</v>
      </c>
      <c r="J15" s="2" t="e" cm="1">
        <f t="array" ref="J15">_xlfn.XLOOKUP(B15, Batteries!A:A, Batteries!E:E*Batteries!G:G)/1000</f>
        <v>#N/A</v>
      </c>
      <c r="K15" t="e">
        <f>C15/H15/Calculations!$B$6 + Calculations!$B$3</f>
        <v>#N/A</v>
      </c>
      <c r="L15" t="e">
        <f>(C15*Calculations!$B$7/H15/Calculations!$B$6)</f>
        <v>#N/A</v>
      </c>
      <c r="M15" t="e">
        <f>(C15*Calculations!$B$7/H15/Calculations!$B$6) + Calculations!$B$3</f>
        <v>#N/A</v>
      </c>
      <c r="N15" t="e">
        <f>_xlfn.XLOOKUP(B15, Batteries!A:A, Batteries!E:E)/1000*60/K15</f>
        <v>#N/A</v>
      </c>
      <c r="O15" t="e">
        <f>_xlfn.XLOOKUP(A15, Motors!A:A, Motors!F:F)*4+_xlfn.XLOOKUP('Results (DO NOT EDIT)'!B15, Batteries!A:A, Batteries!D:D)</f>
        <v>#N/A</v>
      </c>
    </row>
    <row r="16" spans="1:15" ht="15" customHeight="1">
      <c r="A16">
        <f>MOD(ROW()-2, Calculations!$B$8) + 1</f>
        <v>1</v>
      </c>
      <c r="B16">
        <f>INT((ROW()-2)/Calculations!$B$8) + 1</f>
        <v>8</v>
      </c>
      <c r="C16" t="e">
        <f>Calculations!$B$2+_xlfn.XLOOKUP(A16, Motors!A:A, Motors!D:D)*Calculations!$B$5+_xlfn.XLOOKUP(B16, Batteries!A:A, Batteries!C:C)</f>
        <v>#N/A</v>
      </c>
      <c r="D16" t="e">
        <f>C16*Calculations!$B$4/Calculations!$B$5</f>
        <v>#N/A</v>
      </c>
      <c r="E16" t="e">
        <f t="shared" si="0"/>
        <v>#N/A</v>
      </c>
      <c r="F16" s="2">
        <f>_xlfn.MAXIFS(Motors!$E$2:$E$75, Motors!$A$2:$A$75, A16)</f>
        <v>156.57</v>
      </c>
      <c r="G16" t="e" cm="1">
        <f t="array" ref="G16">INDEX(_xlfn._xlws.FILTER(Motors!$J$2:$J$75, Motors!$A$2:$A$75='Results (DO NOT EDIT)'!$A16), MATCH(TRUE, INDEX(ABS(_xlfn._xlws.FILTER(Motors!$G$2:$G$75, Motors!$A$2:$A$75='Results (DO NOT EDIT)'!$A16) - 'Results (DO NOT EDIT)'!$D16) = MIN(INDEX(ABS(_xlfn._xlws.FILTER(Motors!$G$2:$G$75, Motors!$A$2:$A$75='Results (DO NOT EDIT)'!$A16) - 'Results (DO NOT EDIT)'!$D16), 0)), 0), 0))</f>
        <v>#N/A</v>
      </c>
      <c r="H16" s="2" t="e" cm="1">
        <f t="array" ref="H16">INDEX(
  Motors!$I$2:$I$75,
  MATCH(1, (Motors!$A$2:$A$75='Results (DO NOT EDIT)'!A16)*(Motors!$J$2:$J$75='Results (DO NOT EDIT)'!G16), 0)
)</f>
        <v>#N/A</v>
      </c>
      <c r="I16" s="2" cm="1">
        <f t="array" ref="I16">_xlfn.XLOOKUP(A16, Batteries!A:A, Batteries!E:E*Batteries!F:F)/1000</f>
        <v>72</v>
      </c>
      <c r="J16" s="2" t="e" cm="1">
        <f t="array" ref="J16">_xlfn.XLOOKUP(B16, Batteries!A:A, Batteries!E:E*Batteries!G:G)/1000</f>
        <v>#N/A</v>
      </c>
      <c r="K16" t="e">
        <f>C16/H16/Calculations!$B$6 + Calculations!$B$3</f>
        <v>#N/A</v>
      </c>
      <c r="L16" t="e">
        <f>(C16*Calculations!$B$7/H16/Calculations!$B$6)</f>
        <v>#N/A</v>
      </c>
      <c r="M16" t="e">
        <f>(C16*Calculations!$B$7/H16/Calculations!$B$6) + Calculations!$B$3</f>
        <v>#N/A</v>
      </c>
      <c r="N16" t="e">
        <f>_xlfn.XLOOKUP(B16, Batteries!A:A, Batteries!E:E)/1000*60/K16</f>
        <v>#N/A</v>
      </c>
      <c r="O16" t="e">
        <f>_xlfn.XLOOKUP(A16, Motors!A:A, Motors!F:F)*4+_xlfn.XLOOKUP('Results (DO NOT EDIT)'!B16, Batteries!A:A, Batteries!D:D)</f>
        <v>#N/A</v>
      </c>
    </row>
    <row r="17" spans="1:15" ht="15" customHeight="1">
      <c r="A17">
        <f>MOD(ROW()-2, Calculations!$B$8) + 1</f>
        <v>2</v>
      </c>
      <c r="B17">
        <f>INT((ROW()-2)/Calculations!$B$8) + 1</f>
        <v>8</v>
      </c>
      <c r="C17" t="e">
        <f>Calculations!$B$2+_xlfn.XLOOKUP(A17, Motors!A:A, Motors!D:D)*Calculations!$B$5+_xlfn.XLOOKUP(B17, Batteries!A:A, Batteries!C:C)</f>
        <v>#N/A</v>
      </c>
      <c r="D17" t="e">
        <f>C17*Calculations!$B$4/Calculations!$B$5</f>
        <v>#N/A</v>
      </c>
      <c r="E17" t="e">
        <f t="shared" si="0"/>
        <v>#N/A</v>
      </c>
      <c r="F17" s="2">
        <f>_xlfn.MAXIFS(Motors!$E$2:$E$75, Motors!$A$2:$A$75, A17)</f>
        <v>115</v>
      </c>
      <c r="G17" t="e" cm="1">
        <f t="array" ref="G17">INDEX(_xlfn._xlws.FILTER(Motors!$J$2:$J$75, Motors!$A$2:$A$75='Results (DO NOT EDIT)'!$A17), MATCH(TRUE, INDEX(ABS(_xlfn._xlws.FILTER(Motors!$G$2:$G$75, Motors!$A$2:$A$75='Results (DO NOT EDIT)'!$A17) - 'Results (DO NOT EDIT)'!$D17) = MIN(INDEX(ABS(_xlfn._xlws.FILTER(Motors!$G$2:$G$75, Motors!$A$2:$A$75='Results (DO NOT EDIT)'!$A17) - 'Results (DO NOT EDIT)'!$D17), 0)), 0), 0))</f>
        <v>#N/A</v>
      </c>
      <c r="H17" s="2" t="e" cm="1">
        <f t="array" ref="H17">INDEX(
  Motors!$I$2:$I$75,
  MATCH(1, (Motors!$A$2:$A$75='Results (DO NOT EDIT)'!A17)*(Motors!$J$2:$J$75='Results (DO NOT EDIT)'!G17), 0)
)</f>
        <v>#N/A</v>
      </c>
      <c r="I17" s="2" cm="1">
        <f t="array" ref="I17">_xlfn.XLOOKUP(A17, Batteries!A:A, Batteries!E:E*Batteries!F:F)/1000</f>
        <v>52.25</v>
      </c>
      <c r="J17" s="2" t="e" cm="1">
        <f t="array" ref="J17">_xlfn.XLOOKUP(B17, Batteries!A:A, Batteries!E:E*Batteries!G:G)/1000</f>
        <v>#N/A</v>
      </c>
      <c r="K17" t="e">
        <f>C17/H17/Calculations!$B$6 + Calculations!$B$3</f>
        <v>#N/A</v>
      </c>
      <c r="L17" t="e">
        <f>(C17*Calculations!$B$7/H17/Calculations!$B$6)</f>
        <v>#N/A</v>
      </c>
      <c r="M17" t="e">
        <f>(C17*Calculations!$B$7/H17/Calculations!$B$6) + Calculations!$B$3</f>
        <v>#N/A</v>
      </c>
      <c r="N17" t="e">
        <f>_xlfn.XLOOKUP(B17, Batteries!A:A, Batteries!E:E)/1000*60/K17</f>
        <v>#N/A</v>
      </c>
      <c r="O17" t="e">
        <f>_xlfn.XLOOKUP(A17, Motors!A:A, Motors!F:F)*4+_xlfn.XLOOKUP('Results (DO NOT EDIT)'!B17, Batteries!A:A, Batteries!D:D)</f>
        <v>#N/A</v>
      </c>
    </row>
    <row r="18" spans="1:15" ht="15" customHeight="1">
      <c r="A18">
        <f>MOD(ROW()-2, Calculations!$B$8) + 1</f>
        <v>1</v>
      </c>
      <c r="B18">
        <f>INT((ROW()-2)/Calculations!$B$8) + 1</f>
        <v>9</v>
      </c>
      <c r="C18" t="e">
        <f>Calculations!$B$2+_xlfn.XLOOKUP(A18, Motors!A:A, Motors!D:D)*Calculations!$B$5+_xlfn.XLOOKUP(B18, Batteries!A:A, Batteries!C:C)</f>
        <v>#N/A</v>
      </c>
      <c r="D18" t="e">
        <f>C18*Calculations!$B$4/Calculations!$B$5</f>
        <v>#N/A</v>
      </c>
      <c r="E18" t="e">
        <f t="shared" si="0"/>
        <v>#N/A</v>
      </c>
      <c r="F18" s="2">
        <f>_xlfn.MAXIFS(Motors!$E$2:$E$75, Motors!$A$2:$A$75, A18)</f>
        <v>156.57</v>
      </c>
      <c r="G18" t="e" cm="1">
        <f t="array" ref="G18">INDEX(_xlfn._xlws.FILTER(Motors!$J$2:$J$75, Motors!$A$2:$A$75='Results (DO NOT EDIT)'!$A18), MATCH(TRUE, INDEX(ABS(_xlfn._xlws.FILTER(Motors!$G$2:$G$75, Motors!$A$2:$A$75='Results (DO NOT EDIT)'!$A18) - 'Results (DO NOT EDIT)'!$D18) = MIN(INDEX(ABS(_xlfn._xlws.FILTER(Motors!$G$2:$G$75, Motors!$A$2:$A$75='Results (DO NOT EDIT)'!$A18) - 'Results (DO NOT EDIT)'!$D18), 0)), 0), 0))</f>
        <v>#N/A</v>
      </c>
      <c r="H18" s="2" t="e" cm="1">
        <f t="array" ref="H18">INDEX(
  Motors!$I$2:$I$75,
  MATCH(1, (Motors!$A$2:$A$75='Results (DO NOT EDIT)'!A18)*(Motors!$J$2:$J$75='Results (DO NOT EDIT)'!G18), 0)
)</f>
        <v>#N/A</v>
      </c>
      <c r="I18" s="2" cm="1">
        <f t="array" ref="I18">_xlfn.XLOOKUP(A18, Batteries!A:A, Batteries!E:E*Batteries!F:F)/1000</f>
        <v>72</v>
      </c>
      <c r="J18" s="2" t="e" cm="1">
        <f t="array" ref="J18">_xlfn.XLOOKUP(B18, Batteries!A:A, Batteries!E:E*Batteries!G:G)/1000</f>
        <v>#N/A</v>
      </c>
      <c r="K18" t="e">
        <f>C18/H18/Calculations!$B$6 + Calculations!$B$3</f>
        <v>#N/A</v>
      </c>
      <c r="L18" t="e">
        <f>(C18*Calculations!$B$7/H18/Calculations!$B$6)</f>
        <v>#N/A</v>
      </c>
      <c r="M18" t="e">
        <f>(C18*Calculations!$B$7/H18/Calculations!$B$6) + Calculations!$B$3</f>
        <v>#N/A</v>
      </c>
      <c r="N18" t="e">
        <f>_xlfn.XLOOKUP(B18, Batteries!A:A, Batteries!E:E)/1000*60/K18</f>
        <v>#N/A</v>
      </c>
      <c r="O18" t="e">
        <f>_xlfn.XLOOKUP(A18, Motors!A:A, Motors!F:F)*4+_xlfn.XLOOKUP('Results (DO NOT EDIT)'!B18, Batteries!A:A, Batteries!D:D)</f>
        <v>#N/A</v>
      </c>
    </row>
    <row r="19" spans="1:15" ht="15" customHeight="1">
      <c r="A19">
        <f>MOD(ROW()-2, Calculations!$B$8) + 1</f>
        <v>2</v>
      </c>
      <c r="B19">
        <f>INT((ROW()-2)/Calculations!$B$8) + 1</f>
        <v>9</v>
      </c>
      <c r="C19" t="e">
        <f>Calculations!$B$2+_xlfn.XLOOKUP(A19, Motors!A:A, Motors!D:D)*Calculations!$B$5+_xlfn.XLOOKUP(B19, Batteries!A:A, Batteries!C:C)</f>
        <v>#N/A</v>
      </c>
      <c r="D19" t="e">
        <f>C19*Calculations!$B$4/Calculations!$B$5</f>
        <v>#N/A</v>
      </c>
      <c r="E19" t="e">
        <f t="shared" si="0"/>
        <v>#N/A</v>
      </c>
      <c r="F19" s="2">
        <f>_xlfn.MAXIFS(Motors!$E$2:$E$75, Motors!$A$2:$A$75, A19)</f>
        <v>115</v>
      </c>
      <c r="G19" t="e" cm="1">
        <f t="array" ref="G19">INDEX(_xlfn._xlws.FILTER(Motors!$J$2:$J$75, Motors!$A$2:$A$75='Results (DO NOT EDIT)'!$A19), MATCH(TRUE, INDEX(ABS(_xlfn._xlws.FILTER(Motors!$G$2:$G$75, Motors!$A$2:$A$75='Results (DO NOT EDIT)'!$A19) - 'Results (DO NOT EDIT)'!$D19) = MIN(INDEX(ABS(_xlfn._xlws.FILTER(Motors!$G$2:$G$75, Motors!$A$2:$A$75='Results (DO NOT EDIT)'!$A19) - 'Results (DO NOT EDIT)'!$D19), 0)), 0), 0))</f>
        <v>#N/A</v>
      </c>
      <c r="H19" s="2" t="e" cm="1">
        <f t="array" ref="H19">INDEX(
  Motors!$I$2:$I$75,
  MATCH(1, (Motors!$A$2:$A$75='Results (DO NOT EDIT)'!A19)*(Motors!$J$2:$J$75='Results (DO NOT EDIT)'!G19), 0)
)</f>
        <v>#N/A</v>
      </c>
      <c r="I19" s="2" cm="1">
        <f t="array" ref="I19">_xlfn.XLOOKUP(A19, Batteries!A:A, Batteries!E:E*Batteries!F:F)/1000</f>
        <v>52.25</v>
      </c>
      <c r="J19" s="2" t="e" cm="1">
        <f t="array" ref="J19">_xlfn.XLOOKUP(B19, Batteries!A:A, Batteries!E:E*Batteries!G:G)/1000</f>
        <v>#N/A</v>
      </c>
      <c r="K19" t="e">
        <f>C19/H19/Calculations!$B$6 + Calculations!$B$3</f>
        <v>#N/A</v>
      </c>
      <c r="L19" t="e">
        <f>(C19*Calculations!$B$7/H19/Calculations!$B$6)</f>
        <v>#N/A</v>
      </c>
      <c r="M19" t="e">
        <f>(C19*Calculations!$B$7/H19/Calculations!$B$6) + Calculations!$B$3</f>
        <v>#N/A</v>
      </c>
      <c r="N19" t="e">
        <f>_xlfn.XLOOKUP(B19, Batteries!A:A, Batteries!E:E)/1000*60/K19</f>
        <v>#N/A</v>
      </c>
      <c r="O19" t="e">
        <f>_xlfn.XLOOKUP(A19, Motors!A:A, Motors!F:F)*4+_xlfn.XLOOKUP('Results (DO NOT EDIT)'!B19, Batteries!A:A, Batteries!D:D)</f>
        <v>#N/A</v>
      </c>
    </row>
    <row r="20" spans="1:15" ht="15" customHeight="1">
      <c r="A20">
        <f>MOD(ROW()-2, Calculations!$B$8) + 1</f>
        <v>1</v>
      </c>
      <c r="B20">
        <f>INT((ROW()-2)/Calculations!$B$8) + 1</f>
        <v>10</v>
      </c>
      <c r="C20" t="e">
        <f>Calculations!$B$2+_xlfn.XLOOKUP(A20, Motors!A:A, Motors!D:D)*Calculations!$B$5+_xlfn.XLOOKUP(B20, Batteries!A:A, Batteries!C:C)</f>
        <v>#N/A</v>
      </c>
      <c r="D20" t="e">
        <f>C20*Calculations!$B$4/Calculations!$B$5</f>
        <v>#N/A</v>
      </c>
      <c r="E20" t="e">
        <f t="shared" si="0"/>
        <v>#N/A</v>
      </c>
      <c r="F20" s="2">
        <f>_xlfn.MAXIFS(Motors!$E$2:$E$75, Motors!$A$2:$A$75, A20)</f>
        <v>156.57</v>
      </c>
      <c r="G20" t="e" cm="1">
        <f t="array" ref="G20">INDEX(_xlfn._xlws.FILTER(Motors!$J$2:$J$75, Motors!$A$2:$A$75='Results (DO NOT EDIT)'!$A20), MATCH(TRUE, INDEX(ABS(_xlfn._xlws.FILTER(Motors!$G$2:$G$75, Motors!$A$2:$A$75='Results (DO NOT EDIT)'!$A20) - 'Results (DO NOT EDIT)'!$D20) = MIN(INDEX(ABS(_xlfn._xlws.FILTER(Motors!$G$2:$G$75, Motors!$A$2:$A$75='Results (DO NOT EDIT)'!$A20) - 'Results (DO NOT EDIT)'!$D20), 0)), 0), 0))</f>
        <v>#N/A</v>
      </c>
      <c r="H20" s="2" t="e" cm="1">
        <f t="array" ref="H20">INDEX(
  Motors!$I$2:$I$75,
  MATCH(1, (Motors!$A$2:$A$75='Results (DO NOT EDIT)'!A20)*(Motors!$J$2:$J$75='Results (DO NOT EDIT)'!G20), 0)
)</f>
        <v>#N/A</v>
      </c>
      <c r="I20" s="2" cm="1">
        <f t="array" ref="I20">_xlfn.XLOOKUP(A20, Batteries!A:A, Batteries!E:E*Batteries!F:F)/1000</f>
        <v>72</v>
      </c>
      <c r="J20" s="2" t="e" cm="1">
        <f t="array" ref="J20">_xlfn.XLOOKUP(B20, Batteries!A:A, Batteries!E:E*Batteries!G:G)/1000</f>
        <v>#N/A</v>
      </c>
      <c r="K20" t="e">
        <f>C20/H20/Calculations!$B$6 + Calculations!$B$3</f>
        <v>#N/A</v>
      </c>
      <c r="L20" t="e">
        <f>(C20*Calculations!$B$7/H20/Calculations!$B$6)</f>
        <v>#N/A</v>
      </c>
      <c r="M20" t="e">
        <f>(C20*Calculations!$B$7/H20/Calculations!$B$6) + Calculations!$B$3</f>
        <v>#N/A</v>
      </c>
      <c r="N20" t="e">
        <f>_xlfn.XLOOKUP(B20, Batteries!A:A, Batteries!E:E)/1000*60/K20</f>
        <v>#N/A</v>
      </c>
      <c r="O20" t="e">
        <f>_xlfn.XLOOKUP(A20, Motors!A:A, Motors!F:F)*4+_xlfn.XLOOKUP('Results (DO NOT EDIT)'!B20, Batteries!A:A, Batteries!D:D)</f>
        <v>#N/A</v>
      </c>
    </row>
    <row r="21" spans="1:15" ht="15" customHeight="1">
      <c r="A21">
        <f>MOD(ROW()-2, Calculations!$B$8) + 1</f>
        <v>2</v>
      </c>
      <c r="B21">
        <f>INT((ROW()-2)/Calculations!$B$8) + 1</f>
        <v>10</v>
      </c>
      <c r="C21" t="e">
        <f>Calculations!$B$2+_xlfn.XLOOKUP(A21, Motors!A:A, Motors!D:D)*Calculations!$B$5+_xlfn.XLOOKUP(B21, Batteries!A:A, Batteries!C:C)</f>
        <v>#N/A</v>
      </c>
      <c r="D21" t="e">
        <f>C21*Calculations!$B$4/Calculations!$B$5</f>
        <v>#N/A</v>
      </c>
      <c r="E21" t="e">
        <f t="shared" si="0"/>
        <v>#N/A</v>
      </c>
      <c r="F21" s="2">
        <f>_xlfn.MAXIFS(Motors!$E$2:$E$75, Motors!$A$2:$A$75, A21)</f>
        <v>115</v>
      </c>
      <c r="G21" t="e" cm="1">
        <f t="array" ref="G21">INDEX(_xlfn._xlws.FILTER(Motors!$J$2:$J$75, Motors!$A$2:$A$75='Results (DO NOT EDIT)'!$A21), MATCH(TRUE, INDEX(ABS(_xlfn._xlws.FILTER(Motors!$G$2:$G$75, Motors!$A$2:$A$75='Results (DO NOT EDIT)'!$A21) - 'Results (DO NOT EDIT)'!$D21) = MIN(INDEX(ABS(_xlfn._xlws.FILTER(Motors!$G$2:$G$75, Motors!$A$2:$A$75='Results (DO NOT EDIT)'!$A21) - 'Results (DO NOT EDIT)'!$D21), 0)), 0), 0))</f>
        <v>#N/A</v>
      </c>
      <c r="H21" s="2" t="e" cm="1">
        <f t="array" ref="H21">INDEX(
  Motors!$I$2:$I$75,
  MATCH(1, (Motors!$A$2:$A$75='Results (DO NOT EDIT)'!A21)*(Motors!$J$2:$J$75='Results (DO NOT EDIT)'!G21), 0)
)</f>
        <v>#N/A</v>
      </c>
      <c r="I21" s="2" cm="1">
        <f t="array" ref="I21">_xlfn.XLOOKUP(A21, Batteries!A:A, Batteries!E:E*Batteries!F:F)/1000</f>
        <v>52.25</v>
      </c>
      <c r="J21" s="2" t="e" cm="1">
        <f t="array" ref="J21">_xlfn.XLOOKUP(B21, Batteries!A:A, Batteries!E:E*Batteries!G:G)/1000</f>
        <v>#N/A</v>
      </c>
      <c r="K21" t="e">
        <f>C21/H21/Calculations!$B$6 + Calculations!$B$3</f>
        <v>#N/A</v>
      </c>
      <c r="L21" t="e">
        <f>(C21*Calculations!$B$7/H21/Calculations!$B$6)</f>
        <v>#N/A</v>
      </c>
      <c r="M21" t="e">
        <f>(C21*Calculations!$B$7/H21/Calculations!$B$6) + Calculations!$B$3</f>
        <v>#N/A</v>
      </c>
      <c r="N21" t="e">
        <f>_xlfn.XLOOKUP(B21, Batteries!A:A, Batteries!E:E)/1000*60/K21</f>
        <v>#N/A</v>
      </c>
      <c r="O21" t="e">
        <f>_xlfn.XLOOKUP(A21, Motors!A:A, Motors!F:F)*4+_xlfn.XLOOKUP('Results (DO NOT EDIT)'!B21, Batteries!A:A, Batteries!D:D)</f>
        <v>#N/A</v>
      </c>
    </row>
    <row r="22" spans="1:15" ht="15" customHeight="1">
      <c r="A22">
        <f>MOD(ROW()-2, Calculations!$B$8) + 1</f>
        <v>1</v>
      </c>
      <c r="B22">
        <f>INT((ROW()-2)/Calculations!$B$8) + 1</f>
        <v>11</v>
      </c>
      <c r="C22" t="e">
        <f>Calculations!$B$2+_xlfn.XLOOKUP(A22, Motors!A:A, Motors!D:D)*Calculations!$B$5+_xlfn.XLOOKUP(B22, Batteries!A:A, Batteries!C:C)</f>
        <v>#N/A</v>
      </c>
      <c r="D22" t="e">
        <f>C22*Calculations!$B$4/Calculations!$B$5</f>
        <v>#N/A</v>
      </c>
      <c r="E22" t="e">
        <f t="shared" si="0"/>
        <v>#N/A</v>
      </c>
      <c r="F22" s="2">
        <f>_xlfn.MAXIFS(Motors!$E$2:$E$75, Motors!$A$2:$A$75, A22)</f>
        <v>156.57</v>
      </c>
      <c r="G22" t="e" cm="1">
        <f t="array" ref="G22">INDEX(_xlfn._xlws.FILTER(Motors!$J$2:$J$75, Motors!$A$2:$A$75='Results (DO NOT EDIT)'!$A22), MATCH(TRUE, INDEX(ABS(_xlfn._xlws.FILTER(Motors!$G$2:$G$75, Motors!$A$2:$A$75='Results (DO NOT EDIT)'!$A22) - 'Results (DO NOT EDIT)'!$D22) = MIN(INDEX(ABS(_xlfn._xlws.FILTER(Motors!$G$2:$G$75, Motors!$A$2:$A$75='Results (DO NOT EDIT)'!$A22) - 'Results (DO NOT EDIT)'!$D22), 0)), 0), 0))</f>
        <v>#N/A</v>
      </c>
      <c r="H22" s="2" t="e" cm="1">
        <f t="array" ref="H22">INDEX(
  Motors!$I$2:$I$75,
  MATCH(1, (Motors!$A$2:$A$75='Results (DO NOT EDIT)'!A22)*(Motors!$J$2:$J$75='Results (DO NOT EDIT)'!G22), 0)
)</f>
        <v>#N/A</v>
      </c>
      <c r="I22" s="2" cm="1">
        <f t="array" ref="I22">_xlfn.XLOOKUP(A22, Batteries!A:A, Batteries!E:E*Batteries!F:F)/1000</f>
        <v>72</v>
      </c>
      <c r="J22" s="2" t="e" cm="1">
        <f t="array" ref="J22">_xlfn.XLOOKUP(B22, Batteries!A:A, Batteries!E:E*Batteries!G:G)/1000</f>
        <v>#N/A</v>
      </c>
      <c r="K22" t="e">
        <f>C22/H22/Calculations!$B$6 + Calculations!$B$3</f>
        <v>#N/A</v>
      </c>
      <c r="L22" t="e">
        <f>(C22*Calculations!$B$7/H22/Calculations!$B$6)</f>
        <v>#N/A</v>
      </c>
      <c r="M22" t="e">
        <f>(C22*Calculations!$B$7/H22/Calculations!$B$6) + Calculations!$B$3</f>
        <v>#N/A</v>
      </c>
      <c r="N22" t="e">
        <f>_xlfn.XLOOKUP(B22, Batteries!A:A, Batteries!E:E)/1000*60/K22</f>
        <v>#N/A</v>
      </c>
      <c r="O22" t="e">
        <f>_xlfn.XLOOKUP(A22, Motors!A:A, Motors!F:F)*4+_xlfn.XLOOKUP('Results (DO NOT EDIT)'!B22, Batteries!A:A, Batteries!D:D)</f>
        <v>#N/A</v>
      </c>
    </row>
    <row r="23" spans="1:15" ht="15" customHeight="1">
      <c r="A23">
        <f>MOD(ROW()-2, Calculations!$B$8) + 1</f>
        <v>2</v>
      </c>
      <c r="B23">
        <f>INT((ROW()-2)/Calculations!$B$8) + 1</f>
        <v>11</v>
      </c>
      <c r="C23" t="e">
        <f>Calculations!$B$2+_xlfn.XLOOKUP(A23, Motors!A:A, Motors!D:D)*Calculations!$B$5+_xlfn.XLOOKUP(B23, Batteries!A:A, Batteries!C:C)</f>
        <v>#N/A</v>
      </c>
      <c r="D23" t="e">
        <f>C23*Calculations!$B$4/Calculations!$B$5</f>
        <v>#N/A</v>
      </c>
      <c r="E23" t="e">
        <f t="shared" si="0"/>
        <v>#N/A</v>
      </c>
      <c r="F23" s="2">
        <f>_xlfn.MAXIFS(Motors!$E$2:$E$75, Motors!$A$2:$A$75, A23)</f>
        <v>115</v>
      </c>
      <c r="G23" t="e" cm="1">
        <f t="array" ref="G23">INDEX(_xlfn._xlws.FILTER(Motors!$J$2:$J$75, Motors!$A$2:$A$75='Results (DO NOT EDIT)'!$A23), MATCH(TRUE, INDEX(ABS(_xlfn._xlws.FILTER(Motors!$G$2:$G$75, Motors!$A$2:$A$75='Results (DO NOT EDIT)'!$A23) - 'Results (DO NOT EDIT)'!$D23) = MIN(INDEX(ABS(_xlfn._xlws.FILTER(Motors!$G$2:$G$75, Motors!$A$2:$A$75='Results (DO NOT EDIT)'!$A23) - 'Results (DO NOT EDIT)'!$D23), 0)), 0), 0))</f>
        <v>#N/A</v>
      </c>
      <c r="H23" s="2" t="e" cm="1">
        <f t="array" ref="H23">INDEX(
  Motors!$I$2:$I$75,
  MATCH(1, (Motors!$A$2:$A$75='Results (DO NOT EDIT)'!A23)*(Motors!$J$2:$J$75='Results (DO NOT EDIT)'!G23), 0)
)</f>
        <v>#N/A</v>
      </c>
      <c r="I23" s="2" cm="1">
        <f t="array" ref="I23">_xlfn.XLOOKUP(A23, Batteries!A:A, Batteries!E:E*Batteries!F:F)/1000</f>
        <v>52.25</v>
      </c>
      <c r="J23" s="2" t="e" cm="1">
        <f t="array" ref="J23">_xlfn.XLOOKUP(B23, Batteries!A:A, Batteries!E:E*Batteries!G:G)/1000</f>
        <v>#N/A</v>
      </c>
      <c r="K23" t="e">
        <f>C23/H23/Calculations!$B$6 + Calculations!$B$3</f>
        <v>#N/A</v>
      </c>
      <c r="L23" t="e">
        <f>(C23*Calculations!$B$7/H23/Calculations!$B$6)</f>
        <v>#N/A</v>
      </c>
      <c r="M23" t="e">
        <f>(C23*Calculations!$B$7/H23/Calculations!$B$6) + Calculations!$B$3</f>
        <v>#N/A</v>
      </c>
      <c r="N23" t="e">
        <f>_xlfn.XLOOKUP(B23, Batteries!A:A, Batteries!E:E)/1000*60/K23</f>
        <v>#N/A</v>
      </c>
      <c r="O23" t="e">
        <f>_xlfn.XLOOKUP(A23, Motors!A:A, Motors!F:F)*4+_xlfn.XLOOKUP('Results (DO NOT EDIT)'!B23, Batteries!A:A, Batteries!D:D)</f>
        <v>#N/A</v>
      </c>
    </row>
    <row r="24" spans="1:15" ht="15" customHeight="1">
      <c r="A24">
        <f>MOD(ROW()-2, Calculations!$B$8) + 1</f>
        <v>1</v>
      </c>
      <c r="B24">
        <f>INT((ROW()-2)/Calculations!$B$8) + 1</f>
        <v>12</v>
      </c>
      <c r="C24" t="e">
        <f>Calculations!$B$2+_xlfn.XLOOKUP(A24, Motors!A:A, Motors!D:D)*Calculations!$B$5+_xlfn.XLOOKUP(B24, Batteries!A:A, Batteries!C:C)</f>
        <v>#N/A</v>
      </c>
      <c r="D24" t="e">
        <f>C24*Calculations!$B$4/Calculations!$B$5</f>
        <v>#N/A</v>
      </c>
      <c r="E24" t="e">
        <f t="shared" si="0"/>
        <v>#N/A</v>
      </c>
      <c r="F24" s="2">
        <f>_xlfn.MAXIFS(Motors!$E$2:$E$75, Motors!$A$2:$A$75, A24)</f>
        <v>156.57</v>
      </c>
      <c r="G24" t="e" cm="1">
        <f t="array" ref="G24">INDEX(_xlfn._xlws.FILTER(Motors!$J$2:$J$75, Motors!$A$2:$A$75='Results (DO NOT EDIT)'!$A24), MATCH(TRUE, INDEX(ABS(_xlfn._xlws.FILTER(Motors!$G$2:$G$75, Motors!$A$2:$A$75='Results (DO NOT EDIT)'!$A24) - 'Results (DO NOT EDIT)'!$D24) = MIN(INDEX(ABS(_xlfn._xlws.FILTER(Motors!$G$2:$G$75, Motors!$A$2:$A$75='Results (DO NOT EDIT)'!$A24) - 'Results (DO NOT EDIT)'!$D24), 0)), 0), 0))</f>
        <v>#N/A</v>
      </c>
      <c r="H24" s="2" t="e" cm="1">
        <f t="array" ref="H24">INDEX(
  Motors!$I$2:$I$75,
  MATCH(1, (Motors!$A$2:$A$75='Results (DO NOT EDIT)'!A24)*(Motors!$J$2:$J$75='Results (DO NOT EDIT)'!G24), 0)
)</f>
        <v>#N/A</v>
      </c>
      <c r="I24" s="2" cm="1">
        <f t="array" ref="I24">_xlfn.XLOOKUP(A24, Batteries!A:A, Batteries!E:E*Batteries!F:F)/1000</f>
        <v>72</v>
      </c>
      <c r="J24" s="2" t="e" cm="1">
        <f t="array" ref="J24">_xlfn.XLOOKUP(B24, Batteries!A:A, Batteries!E:E*Batteries!G:G)/1000</f>
        <v>#N/A</v>
      </c>
      <c r="K24" t="e">
        <f>C24/H24/Calculations!$B$6 + Calculations!$B$3</f>
        <v>#N/A</v>
      </c>
      <c r="L24" t="e">
        <f>(C24*Calculations!$B$7/H24/Calculations!$B$6)</f>
        <v>#N/A</v>
      </c>
      <c r="M24" t="e">
        <f>(C24*Calculations!$B$7/H24/Calculations!$B$6) + Calculations!$B$3</f>
        <v>#N/A</v>
      </c>
      <c r="N24" t="e">
        <f>_xlfn.XLOOKUP(B24, Batteries!A:A, Batteries!E:E)/1000*60/K24</f>
        <v>#N/A</v>
      </c>
      <c r="O24" t="e">
        <f>_xlfn.XLOOKUP(A24, Motors!A:A, Motors!F:F)*4+_xlfn.XLOOKUP('Results (DO NOT EDIT)'!B24, Batteries!A:A, Batteries!D:D)</f>
        <v>#N/A</v>
      </c>
    </row>
    <row r="25" spans="1:15" ht="15" customHeight="1">
      <c r="A25">
        <f>MOD(ROW()-2, Calculations!$B$8) + 1</f>
        <v>2</v>
      </c>
      <c r="B25">
        <f>INT((ROW()-2)/Calculations!$B$8) + 1</f>
        <v>12</v>
      </c>
      <c r="C25" t="e">
        <f>Calculations!$B$2+_xlfn.XLOOKUP(A25, Motors!A:A, Motors!D:D)*Calculations!$B$5+_xlfn.XLOOKUP(B25, Batteries!A:A, Batteries!C:C)</f>
        <v>#N/A</v>
      </c>
      <c r="D25" t="e">
        <f>C25*Calculations!$B$4/Calculations!$B$5</f>
        <v>#N/A</v>
      </c>
      <c r="E25" t="e">
        <f t="shared" si="0"/>
        <v>#N/A</v>
      </c>
      <c r="F25" s="2">
        <f>_xlfn.MAXIFS(Motors!$E$2:$E$75, Motors!$A$2:$A$75, A25)</f>
        <v>115</v>
      </c>
      <c r="G25" t="e" cm="1">
        <f t="array" ref="G25">INDEX(_xlfn._xlws.FILTER(Motors!$J$2:$J$75, Motors!$A$2:$A$75='Results (DO NOT EDIT)'!$A25), MATCH(TRUE, INDEX(ABS(_xlfn._xlws.FILTER(Motors!$G$2:$G$75, Motors!$A$2:$A$75='Results (DO NOT EDIT)'!$A25) - 'Results (DO NOT EDIT)'!$D25) = MIN(INDEX(ABS(_xlfn._xlws.FILTER(Motors!$G$2:$G$75, Motors!$A$2:$A$75='Results (DO NOT EDIT)'!$A25) - 'Results (DO NOT EDIT)'!$D25), 0)), 0), 0))</f>
        <v>#N/A</v>
      </c>
      <c r="H25" s="2" t="e" cm="1">
        <f t="array" ref="H25">INDEX(
  Motors!$I$2:$I$75,
  MATCH(1, (Motors!$A$2:$A$75='Results (DO NOT EDIT)'!A25)*(Motors!$J$2:$J$75='Results (DO NOT EDIT)'!G25), 0)
)</f>
        <v>#N/A</v>
      </c>
      <c r="I25" s="2" cm="1">
        <f t="array" ref="I25">_xlfn.XLOOKUP(A25, Batteries!A:A, Batteries!E:E*Batteries!F:F)/1000</f>
        <v>52.25</v>
      </c>
      <c r="J25" s="2" t="e" cm="1">
        <f t="array" ref="J25">_xlfn.XLOOKUP(B25, Batteries!A:A, Batteries!E:E*Batteries!G:G)/1000</f>
        <v>#N/A</v>
      </c>
      <c r="K25" t="e">
        <f>C25/H25/Calculations!$B$6 + Calculations!$B$3</f>
        <v>#N/A</v>
      </c>
      <c r="L25" t="e">
        <f>(C25*Calculations!$B$7/H25/Calculations!$B$6)</f>
        <v>#N/A</v>
      </c>
      <c r="M25" t="e">
        <f>(C25*Calculations!$B$7/H25/Calculations!$B$6) + Calculations!$B$3</f>
        <v>#N/A</v>
      </c>
      <c r="N25" t="e">
        <f>_xlfn.XLOOKUP(B25, Batteries!A:A, Batteries!E:E)/1000*60/K25</f>
        <v>#N/A</v>
      </c>
      <c r="O25" t="e">
        <f>_xlfn.XLOOKUP(A25, Motors!A:A, Motors!F:F)*4+_xlfn.XLOOKUP('Results (DO NOT EDIT)'!B25, Batteries!A:A, Batteries!D:D)</f>
        <v>#N/A</v>
      </c>
    </row>
    <row r="26" spans="1:15" ht="15" customHeight="1">
      <c r="A26">
        <f>MOD(ROW()-2, Calculations!$B$8) + 1</f>
        <v>1</v>
      </c>
      <c r="B26">
        <f>INT((ROW()-2)/Calculations!$B$8) + 1</f>
        <v>13</v>
      </c>
      <c r="C26" t="e">
        <f>Calculations!$B$2+_xlfn.XLOOKUP(A26, Motors!A:A, Motors!D:D)*Calculations!$B$5+_xlfn.XLOOKUP(B26, Batteries!A:A, Batteries!C:C)</f>
        <v>#N/A</v>
      </c>
      <c r="D26" t="e">
        <f>C26*Calculations!$B$4/Calculations!$B$5</f>
        <v>#N/A</v>
      </c>
      <c r="E26" t="e">
        <f t="shared" si="0"/>
        <v>#N/A</v>
      </c>
      <c r="F26" s="2">
        <f>_xlfn.MAXIFS(Motors!$E$2:$E$75, Motors!$A$2:$A$75, A26)</f>
        <v>156.57</v>
      </c>
      <c r="G26" t="e" cm="1">
        <f t="array" ref="G26">INDEX(_xlfn._xlws.FILTER(Motors!$J$2:$J$75, Motors!$A$2:$A$75='Results (DO NOT EDIT)'!$A26), MATCH(TRUE, INDEX(ABS(_xlfn._xlws.FILTER(Motors!$G$2:$G$75, Motors!$A$2:$A$75='Results (DO NOT EDIT)'!$A26) - 'Results (DO NOT EDIT)'!$D26) = MIN(INDEX(ABS(_xlfn._xlws.FILTER(Motors!$G$2:$G$75, Motors!$A$2:$A$75='Results (DO NOT EDIT)'!$A26) - 'Results (DO NOT EDIT)'!$D26), 0)), 0), 0))</f>
        <v>#N/A</v>
      </c>
      <c r="H26" s="2" t="e" cm="1">
        <f t="array" ref="H26">INDEX(
  Motors!$I$2:$I$75,
  MATCH(1, (Motors!$A$2:$A$75='Results (DO NOT EDIT)'!A26)*(Motors!$J$2:$J$75='Results (DO NOT EDIT)'!G26), 0)
)</f>
        <v>#N/A</v>
      </c>
      <c r="I26" s="2" cm="1">
        <f t="array" ref="I26">_xlfn.XLOOKUP(A26, Batteries!A:A, Batteries!E:E*Batteries!F:F)/1000</f>
        <v>72</v>
      </c>
      <c r="J26" s="2" t="e" cm="1">
        <f t="array" ref="J26">_xlfn.XLOOKUP(B26, Batteries!A:A, Batteries!E:E*Batteries!G:G)/1000</f>
        <v>#N/A</v>
      </c>
      <c r="K26" t="e">
        <f>C26/H26/Calculations!$B$6 + Calculations!$B$3</f>
        <v>#N/A</v>
      </c>
      <c r="L26" t="e">
        <f>(C26*Calculations!$B$7/H26/Calculations!$B$6)</f>
        <v>#N/A</v>
      </c>
      <c r="M26" t="e">
        <f>(C26*Calculations!$B$7/H26/Calculations!$B$6) + Calculations!$B$3</f>
        <v>#N/A</v>
      </c>
      <c r="N26" t="e">
        <f>_xlfn.XLOOKUP(B26, Batteries!A:A, Batteries!E:E)/1000*60/K26</f>
        <v>#N/A</v>
      </c>
      <c r="O26" t="e">
        <f>_xlfn.XLOOKUP(A26, Motors!A:A, Motors!F:F)*4+_xlfn.XLOOKUP('Results (DO NOT EDIT)'!B26, Batteries!A:A, Batteries!D:D)</f>
        <v>#N/A</v>
      </c>
    </row>
    <row r="27" spans="1:15" ht="15" customHeight="1">
      <c r="A27">
        <f>MOD(ROW()-2, Calculations!$B$8) + 1</f>
        <v>2</v>
      </c>
      <c r="B27">
        <f>INT((ROW()-2)/Calculations!$B$8) + 1</f>
        <v>13</v>
      </c>
      <c r="C27" t="e">
        <f>Calculations!$B$2+_xlfn.XLOOKUP(A27, Motors!A:A, Motors!D:D)*Calculations!$B$5+_xlfn.XLOOKUP(B27, Batteries!A:A, Batteries!C:C)</f>
        <v>#N/A</v>
      </c>
      <c r="D27" t="e">
        <f>C27*Calculations!$B$4/Calculations!$B$5</f>
        <v>#N/A</v>
      </c>
      <c r="E27" t="e">
        <f t="shared" si="0"/>
        <v>#N/A</v>
      </c>
      <c r="F27" s="2">
        <f>_xlfn.MAXIFS(Motors!$E$2:$E$75, Motors!$A$2:$A$75, A27)</f>
        <v>115</v>
      </c>
      <c r="G27" t="e" cm="1">
        <f t="array" ref="G27">INDEX(_xlfn._xlws.FILTER(Motors!$J$2:$J$75, Motors!$A$2:$A$75='Results (DO NOT EDIT)'!$A27), MATCH(TRUE, INDEX(ABS(_xlfn._xlws.FILTER(Motors!$G$2:$G$75, Motors!$A$2:$A$75='Results (DO NOT EDIT)'!$A27) - 'Results (DO NOT EDIT)'!$D27) = MIN(INDEX(ABS(_xlfn._xlws.FILTER(Motors!$G$2:$G$75, Motors!$A$2:$A$75='Results (DO NOT EDIT)'!$A27) - 'Results (DO NOT EDIT)'!$D27), 0)), 0), 0))</f>
        <v>#N/A</v>
      </c>
      <c r="H27" s="2" t="e" cm="1">
        <f t="array" ref="H27">INDEX(
  Motors!$I$2:$I$75,
  MATCH(1, (Motors!$A$2:$A$75='Results (DO NOT EDIT)'!A27)*(Motors!$J$2:$J$75='Results (DO NOT EDIT)'!G27), 0)
)</f>
        <v>#N/A</v>
      </c>
      <c r="I27" s="2" cm="1">
        <f t="array" ref="I27">_xlfn.XLOOKUP(A27, Batteries!A:A, Batteries!E:E*Batteries!F:F)/1000</f>
        <v>52.25</v>
      </c>
      <c r="J27" s="2" t="e" cm="1">
        <f t="array" ref="J27">_xlfn.XLOOKUP(B27, Batteries!A:A, Batteries!E:E*Batteries!G:G)/1000</f>
        <v>#N/A</v>
      </c>
      <c r="K27" t="e">
        <f>C27/H27/Calculations!$B$6 + Calculations!$B$3</f>
        <v>#N/A</v>
      </c>
      <c r="L27" t="e">
        <f>(C27*Calculations!$B$7/H27/Calculations!$B$6)</f>
        <v>#N/A</v>
      </c>
      <c r="M27" t="e">
        <f>(C27*Calculations!$B$7/H27/Calculations!$B$6) + Calculations!$B$3</f>
        <v>#N/A</v>
      </c>
      <c r="N27" t="e">
        <f>_xlfn.XLOOKUP(B27, Batteries!A:A, Batteries!E:E)/1000*60/K27</f>
        <v>#N/A</v>
      </c>
      <c r="O27" t="e">
        <f>_xlfn.XLOOKUP(A27, Motors!A:A, Motors!F:F)*4+_xlfn.XLOOKUP('Results (DO NOT EDIT)'!B27, Batteries!A:A, Batteries!D:D)</f>
        <v>#N/A</v>
      </c>
    </row>
    <row r="28" spans="1:15" ht="15" customHeight="1">
      <c r="A28">
        <f>MOD(ROW()-2, Calculations!$B$8) + 1</f>
        <v>1</v>
      </c>
      <c r="B28">
        <f>INT((ROW()-2)/Calculations!$B$8) + 1</f>
        <v>14</v>
      </c>
      <c r="C28" t="e">
        <f>Calculations!$B$2+_xlfn.XLOOKUP(A28, Motors!A:A, Motors!D:D)*Calculations!$B$5+_xlfn.XLOOKUP(B28, Batteries!A:A, Batteries!C:C)</f>
        <v>#N/A</v>
      </c>
      <c r="D28" t="e">
        <f>C28*Calculations!$B$4/Calculations!$B$5</f>
        <v>#N/A</v>
      </c>
      <c r="E28" t="e">
        <f t="shared" si="0"/>
        <v>#N/A</v>
      </c>
      <c r="F28" s="2">
        <f>_xlfn.MAXIFS(Motors!$E$2:$E$75, Motors!$A$2:$A$75, A28)</f>
        <v>156.57</v>
      </c>
      <c r="G28" t="e" cm="1">
        <f t="array" ref="G28">INDEX(_xlfn._xlws.FILTER(Motors!$J$2:$J$75, Motors!$A$2:$A$75='Results (DO NOT EDIT)'!$A28), MATCH(TRUE, INDEX(ABS(_xlfn._xlws.FILTER(Motors!$G$2:$G$75, Motors!$A$2:$A$75='Results (DO NOT EDIT)'!$A28) - 'Results (DO NOT EDIT)'!$D28) = MIN(INDEX(ABS(_xlfn._xlws.FILTER(Motors!$G$2:$G$75, Motors!$A$2:$A$75='Results (DO NOT EDIT)'!$A28) - 'Results (DO NOT EDIT)'!$D28), 0)), 0), 0))</f>
        <v>#N/A</v>
      </c>
      <c r="H28" s="2" t="e" cm="1">
        <f t="array" ref="H28">INDEX(
  Motors!$I$2:$I$75,
  MATCH(1, (Motors!$A$2:$A$75='Results (DO NOT EDIT)'!A28)*(Motors!$J$2:$J$75='Results (DO NOT EDIT)'!G28), 0)
)</f>
        <v>#N/A</v>
      </c>
      <c r="I28" s="2" cm="1">
        <f t="array" ref="I28">_xlfn.XLOOKUP(A28, Batteries!A:A, Batteries!E:E*Batteries!F:F)/1000</f>
        <v>72</v>
      </c>
      <c r="J28" s="2" t="e" cm="1">
        <f t="array" ref="J28">_xlfn.XLOOKUP(B28, Batteries!A:A, Batteries!E:E*Batteries!G:G)/1000</f>
        <v>#N/A</v>
      </c>
      <c r="K28" t="e">
        <f>C28/H28/Calculations!$B$6 + Calculations!$B$3</f>
        <v>#N/A</v>
      </c>
      <c r="L28" t="e">
        <f>(C28*Calculations!$B$7/H28/Calculations!$B$6)</f>
        <v>#N/A</v>
      </c>
      <c r="M28" t="e">
        <f>(C28*Calculations!$B$7/H28/Calculations!$B$6) + Calculations!$B$3</f>
        <v>#N/A</v>
      </c>
      <c r="N28" t="e">
        <f>_xlfn.XLOOKUP(B28, Batteries!A:A, Batteries!E:E)/1000*60/K28</f>
        <v>#N/A</v>
      </c>
      <c r="O28" t="e">
        <f>_xlfn.XLOOKUP(A28, Motors!A:A, Motors!F:F)*4+_xlfn.XLOOKUP('Results (DO NOT EDIT)'!B28, Batteries!A:A, Batteries!D:D)</f>
        <v>#N/A</v>
      </c>
    </row>
    <row r="29" spans="1:15" ht="15" customHeight="1">
      <c r="A29">
        <f>MOD(ROW()-2, Calculations!$B$8) + 1</f>
        <v>2</v>
      </c>
      <c r="B29">
        <f>INT((ROW()-2)/Calculations!$B$8) + 1</f>
        <v>14</v>
      </c>
      <c r="C29" t="e">
        <f>Calculations!$B$2+_xlfn.XLOOKUP(A29, Motors!A:A, Motors!D:D)*Calculations!$B$5+_xlfn.XLOOKUP(B29, Batteries!A:A, Batteries!C:C)</f>
        <v>#N/A</v>
      </c>
      <c r="D29" t="e">
        <f>C29*Calculations!$B$4/Calculations!$B$5</f>
        <v>#N/A</v>
      </c>
      <c r="E29" t="e">
        <f t="shared" si="0"/>
        <v>#N/A</v>
      </c>
      <c r="F29" s="2">
        <f>_xlfn.MAXIFS(Motors!$E$2:$E$75, Motors!$A$2:$A$75, A29)</f>
        <v>115</v>
      </c>
      <c r="G29" t="e" cm="1">
        <f t="array" ref="G29">INDEX(_xlfn._xlws.FILTER(Motors!$J$2:$J$75, Motors!$A$2:$A$75='Results (DO NOT EDIT)'!$A29), MATCH(TRUE, INDEX(ABS(_xlfn._xlws.FILTER(Motors!$G$2:$G$75, Motors!$A$2:$A$75='Results (DO NOT EDIT)'!$A29) - 'Results (DO NOT EDIT)'!$D29) = MIN(INDEX(ABS(_xlfn._xlws.FILTER(Motors!$G$2:$G$75, Motors!$A$2:$A$75='Results (DO NOT EDIT)'!$A29) - 'Results (DO NOT EDIT)'!$D29), 0)), 0), 0))</f>
        <v>#N/A</v>
      </c>
      <c r="H29" s="2" t="e" cm="1">
        <f t="array" ref="H29">INDEX(
  Motors!$I$2:$I$75,
  MATCH(1, (Motors!$A$2:$A$75='Results (DO NOT EDIT)'!A29)*(Motors!$J$2:$J$75='Results (DO NOT EDIT)'!G29), 0)
)</f>
        <v>#N/A</v>
      </c>
      <c r="I29" s="2" cm="1">
        <f t="array" ref="I29">_xlfn.XLOOKUP(A29, Batteries!A:A, Batteries!E:E*Batteries!F:F)/1000</f>
        <v>52.25</v>
      </c>
      <c r="J29" s="2" t="e" cm="1">
        <f t="array" ref="J29">_xlfn.XLOOKUP(B29, Batteries!A:A, Batteries!E:E*Batteries!G:G)/1000</f>
        <v>#N/A</v>
      </c>
      <c r="K29" t="e">
        <f>C29/H29/Calculations!$B$6 + Calculations!$B$3</f>
        <v>#N/A</v>
      </c>
      <c r="L29" t="e">
        <f>(C29*Calculations!$B$7/H29/Calculations!$B$6)</f>
        <v>#N/A</v>
      </c>
      <c r="M29" t="e">
        <f>(C29*Calculations!$B$7/H29/Calculations!$B$6) + Calculations!$B$3</f>
        <v>#N/A</v>
      </c>
      <c r="N29" t="e">
        <f>_xlfn.XLOOKUP(B29, Batteries!A:A, Batteries!E:E)/1000*60/K29</f>
        <v>#N/A</v>
      </c>
      <c r="O29" t="e">
        <f>_xlfn.XLOOKUP(A29, Motors!A:A, Motors!F:F)*4+_xlfn.XLOOKUP('Results (DO NOT EDIT)'!B29, Batteries!A:A, Batteries!D:D)</f>
        <v>#N/A</v>
      </c>
    </row>
    <row r="30" spans="1:15" ht="15" customHeight="1">
      <c r="A30">
        <f>MOD(ROW()-2, Calculations!$B$8) + 1</f>
        <v>1</v>
      </c>
      <c r="B30">
        <f>INT((ROW()-2)/Calculations!$B$8) + 1</f>
        <v>15</v>
      </c>
      <c r="C30" t="e">
        <f>Calculations!$B$2+_xlfn.XLOOKUP(A30, Motors!A:A, Motors!D:D)*Calculations!$B$5+_xlfn.XLOOKUP(B30, Batteries!A:A, Batteries!C:C)</f>
        <v>#N/A</v>
      </c>
      <c r="D30" t="e">
        <f>C30*Calculations!$B$4/Calculations!$B$5</f>
        <v>#N/A</v>
      </c>
      <c r="E30" t="e">
        <f t="shared" si="0"/>
        <v>#N/A</v>
      </c>
      <c r="F30" s="2">
        <f>_xlfn.MAXIFS(Motors!$E$2:$E$75, Motors!$A$2:$A$75, A30)</f>
        <v>156.57</v>
      </c>
      <c r="G30" t="e" cm="1">
        <f t="array" ref="G30">INDEX(_xlfn._xlws.FILTER(Motors!$J$2:$J$75, Motors!$A$2:$A$75='Results (DO NOT EDIT)'!$A30), MATCH(TRUE, INDEX(ABS(_xlfn._xlws.FILTER(Motors!$G$2:$G$75, Motors!$A$2:$A$75='Results (DO NOT EDIT)'!$A30) - 'Results (DO NOT EDIT)'!$D30) = MIN(INDEX(ABS(_xlfn._xlws.FILTER(Motors!$G$2:$G$75, Motors!$A$2:$A$75='Results (DO NOT EDIT)'!$A30) - 'Results (DO NOT EDIT)'!$D30), 0)), 0), 0))</f>
        <v>#N/A</v>
      </c>
      <c r="H30" s="2" t="e" cm="1">
        <f t="array" ref="H30">INDEX(
  Motors!$I$2:$I$75,
  MATCH(1, (Motors!$A$2:$A$75='Results (DO NOT EDIT)'!A30)*(Motors!$J$2:$J$75='Results (DO NOT EDIT)'!G30), 0)
)</f>
        <v>#N/A</v>
      </c>
      <c r="I30" s="2" cm="1">
        <f t="array" ref="I30">_xlfn.XLOOKUP(A30, Batteries!A:A, Batteries!E:E*Batteries!F:F)/1000</f>
        <v>72</v>
      </c>
      <c r="J30" s="2" t="e" cm="1">
        <f t="array" ref="J30">_xlfn.XLOOKUP(B30, Batteries!A:A, Batteries!E:E*Batteries!G:G)/1000</f>
        <v>#N/A</v>
      </c>
      <c r="K30" t="e">
        <f>C30/H30/Calculations!$B$6 + Calculations!$B$3</f>
        <v>#N/A</v>
      </c>
      <c r="L30" t="e">
        <f>(C30*Calculations!$B$7/H30/Calculations!$B$6)</f>
        <v>#N/A</v>
      </c>
      <c r="M30" t="e">
        <f>(C30*Calculations!$B$7/H30/Calculations!$B$6) + Calculations!$B$3</f>
        <v>#N/A</v>
      </c>
      <c r="N30" t="e">
        <f>_xlfn.XLOOKUP(B30, Batteries!A:A, Batteries!E:E)/1000*60/K30</f>
        <v>#N/A</v>
      </c>
      <c r="O30" t="e">
        <f>_xlfn.XLOOKUP(A30, Motors!A:A, Motors!F:F)*4+_xlfn.XLOOKUP('Results (DO NOT EDIT)'!B30, Batteries!A:A, Batteries!D:D)</f>
        <v>#N/A</v>
      </c>
    </row>
    <row r="31" spans="1:15" ht="15" customHeight="1">
      <c r="A31">
        <f>MOD(ROW()-2, Calculations!$B$8) + 1</f>
        <v>2</v>
      </c>
      <c r="B31">
        <f>INT((ROW()-2)/Calculations!$B$8) + 1</f>
        <v>15</v>
      </c>
      <c r="C31" t="e">
        <f>Calculations!$B$2+_xlfn.XLOOKUP(A31, Motors!A:A, Motors!D:D)*Calculations!$B$5+_xlfn.XLOOKUP(B31, Batteries!A:A, Batteries!C:C)</f>
        <v>#N/A</v>
      </c>
      <c r="D31" t="e">
        <f>C31*Calculations!$B$4/Calculations!$B$5</f>
        <v>#N/A</v>
      </c>
      <c r="E31" t="e">
        <f t="shared" si="0"/>
        <v>#N/A</v>
      </c>
      <c r="F31" s="2">
        <f>_xlfn.MAXIFS(Motors!$E$2:$E$75, Motors!$A$2:$A$75, A31)</f>
        <v>115</v>
      </c>
      <c r="G31" t="e" cm="1">
        <f t="array" ref="G31">INDEX(_xlfn._xlws.FILTER(Motors!$J$2:$J$75, Motors!$A$2:$A$75='Results (DO NOT EDIT)'!$A31), MATCH(TRUE, INDEX(ABS(_xlfn._xlws.FILTER(Motors!$G$2:$G$75, Motors!$A$2:$A$75='Results (DO NOT EDIT)'!$A31) - 'Results (DO NOT EDIT)'!$D31) = MIN(INDEX(ABS(_xlfn._xlws.FILTER(Motors!$G$2:$G$75, Motors!$A$2:$A$75='Results (DO NOT EDIT)'!$A31) - 'Results (DO NOT EDIT)'!$D31), 0)), 0), 0))</f>
        <v>#N/A</v>
      </c>
      <c r="H31" s="2" t="e" cm="1">
        <f t="array" ref="H31">INDEX(
  Motors!$I$2:$I$75,
  MATCH(1, (Motors!$A$2:$A$75='Results (DO NOT EDIT)'!A31)*(Motors!$J$2:$J$75='Results (DO NOT EDIT)'!G31), 0)
)</f>
        <v>#N/A</v>
      </c>
      <c r="I31" s="2" cm="1">
        <f t="array" ref="I31">_xlfn.XLOOKUP(A31, Batteries!A:A, Batteries!E:E*Batteries!F:F)/1000</f>
        <v>52.25</v>
      </c>
      <c r="J31" s="2" t="e" cm="1">
        <f t="array" ref="J31">_xlfn.XLOOKUP(B31, Batteries!A:A, Batteries!E:E*Batteries!G:G)/1000</f>
        <v>#N/A</v>
      </c>
      <c r="K31" t="e">
        <f>C31/H31/Calculations!$B$6 + Calculations!$B$3</f>
        <v>#N/A</v>
      </c>
      <c r="L31" t="e">
        <f>(C31*Calculations!$B$7/H31/Calculations!$B$6)</f>
        <v>#N/A</v>
      </c>
      <c r="M31" t="e">
        <f>(C31*Calculations!$B$7/H31/Calculations!$B$6) + Calculations!$B$3</f>
        <v>#N/A</v>
      </c>
      <c r="N31" t="e">
        <f>_xlfn.XLOOKUP(B31, Batteries!A:A, Batteries!E:E)/1000*60/K31</f>
        <v>#N/A</v>
      </c>
      <c r="O31" t="e">
        <f>_xlfn.XLOOKUP(A31, Motors!A:A, Motors!F:F)*4+_xlfn.XLOOKUP('Results (DO NOT EDIT)'!B31, Batteries!A:A, Batteries!D:D)</f>
        <v>#N/A</v>
      </c>
    </row>
    <row r="32" spans="1:15" ht="15" customHeight="1">
      <c r="A32">
        <f>MOD(ROW()-2, Calculations!$B$8) + 1</f>
        <v>1</v>
      </c>
      <c r="B32">
        <f>INT((ROW()-2)/Calculations!$B$8) + 1</f>
        <v>16</v>
      </c>
      <c r="C32" t="e">
        <f>Calculations!$B$2+_xlfn.XLOOKUP(A32, Motors!A:A, Motors!D:D)*Calculations!$B$5+_xlfn.XLOOKUP(B32, Batteries!A:A, Batteries!C:C)</f>
        <v>#N/A</v>
      </c>
      <c r="D32" t="e">
        <f>C32*Calculations!$B$4/Calculations!$B$5</f>
        <v>#N/A</v>
      </c>
      <c r="E32" t="e">
        <f t="shared" si="0"/>
        <v>#N/A</v>
      </c>
      <c r="F32" s="2">
        <f>_xlfn.MAXIFS(Motors!$E$2:$E$75, Motors!$A$2:$A$75, A32)</f>
        <v>156.57</v>
      </c>
      <c r="G32" t="e" cm="1">
        <f t="array" ref="G32">INDEX(_xlfn._xlws.FILTER(Motors!$J$2:$J$75, Motors!$A$2:$A$75='Results (DO NOT EDIT)'!$A32), MATCH(TRUE, INDEX(ABS(_xlfn._xlws.FILTER(Motors!$G$2:$G$75, Motors!$A$2:$A$75='Results (DO NOT EDIT)'!$A32) - 'Results (DO NOT EDIT)'!$D32) = MIN(INDEX(ABS(_xlfn._xlws.FILTER(Motors!$G$2:$G$75, Motors!$A$2:$A$75='Results (DO NOT EDIT)'!$A32) - 'Results (DO NOT EDIT)'!$D32), 0)), 0), 0))</f>
        <v>#N/A</v>
      </c>
      <c r="H32" s="2" t="e" cm="1">
        <f t="array" ref="H32">INDEX(
  Motors!$I$2:$I$75,
  MATCH(1, (Motors!$A$2:$A$75='Results (DO NOT EDIT)'!A32)*(Motors!$J$2:$J$75='Results (DO NOT EDIT)'!G32), 0)
)</f>
        <v>#N/A</v>
      </c>
      <c r="I32" s="2" cm="1">
        <f t="array" ref="I32">_xlfn.XLOOKUP(A32, Batteries!A:A, Batteries!E:E*Batteries!F:F)/1000</f>
        <v>72</v>
      </c>
      <c r="J32" s="2" t="e" cm="1">
        <f t="array" ref="J32">_xlfn.XLOOKUP(B32, Batteries!A:A, Batteries!E:E*Batteries!G:G)/1000</f>
        <v>#N/A</v>
      </c>
      <c r="K32" t="e">
        <f>C32/H32/Calculations!$B$6 + Calculations!$B$3</f>
        <v>#N/A</v>
      </c>
      <c r="L32" t="e">
        <f>(C32*Calculations!$B$7/H32/Calculations!$B$6)</f>
        <v>#N/A</v>
      </c>
      <c r="M32" t="e">
        <f>(C32*Calculations!$B$7/H32/Calculations!$B$6) + Calculations!$B$3</f>
        <v>#N/A</v>
      </c>
      <c r="N32" t="e">
        <f>_xlfn.XLOOKUP(B32, Batteries!A:A, Batteries!E:E)/1000*60/K32</f>
        <v>#N/A</v>
      </c>
      <c r="O32" t="e">
        <f>_xlfn.XLOOKUP(A32, Motors!A:A, Motors!F:F)*4+_xlfn.XLOOKUP('Results (DO NOT EDIT)'!B32, Batteries!A:A, Batteries!D:D)</f>
        <v>#N/A</v>
      </c>
    </row>
    <row r="33" spans="1:15" ht="15" customHeight="1">
      <c r="A33">
        <f>MOD(ROW()-2, Calculations!$B$8) + 1</f>
        <v>2</v>
      </c>
      <c r="B33">
        <f>INT((ROW()-2)/Calculations!$B$8) + 1</f>
        <v>16</v>
      </c>
      <c r="C33" t="e">
        <f>Calculations!$B$2+_xlfn.XLOOKUP(A33, Motors!A:A, Motors!D:D)*Calculations!$B$5+_xlfn.XLOOKUP(B33, Batteries!A:A, Batteries!C:C)</f>
        <v>#N/A</v>
      </c>
      <c r="D33" t="e">
        <f>C33*Calculations!$B$4/Calculations!$B$5</f>
        <v>#N/A</v>
      </c>
      <c r="E33" t="e">
        <f t="shared" si="0"/>
        <v>#N/A</v>
      </c>
      <c r="F33" s="2">
        <f>_xlfn.MAXIFS(Motors!$E$2:$E$75, Motors!$A$2:$A$75, A33)</f>
        <v>115</v>
      </c>
      <c r="G33" t="e" cm="1">
        <f t="array" ref="G33">INDEX(_xlfn._xlws.FILTER(Motors!$J$2:$J$75, Motors!$A$2:$A$75='Results (DO NOT EDIT)'!$A33), MATCH(TRUE, INDEX(ABS(_xlfn._xlws.FILTER(Motors!$G$2:$G$75, Motors!$A$2:$A$75='Results (DO NOT EDIT)'!$A33) - 'Results (DO NOT EDIT)'!$D33) = MIN(INDEX(ABS(_xlfn._xlws.FILTER(Motors!$G$2:$G$75, Motors!$A$2:$A$75='Results (DO NOT EDIT)'!$A33) - 'Results (DO NOT EDIT)'!$D33), 0)), 0), 0))</f>
        <v>#N/A</v>
      </c>
      <c r="H33" s="2" t="e" cm="1">
        <f t="array" ref="H33">INDEX(
  Motors!$I$2:$I$75,
  MATCH(1, (Motors!$A$2:$A$75='Results (DO NOT EDIT)'!A33)*(Motors!$J$2:$J$75='Results (DO NOT EDIT)'!G33), 0)
)</f>
        <v>#N/A</v>
      </c>
      <c r="I33" s="2" cm="1">
        <f t="array" ref="I33">_xlfn.XLOOKUP(A33, Batteries!A:A, Batteries!E:E*Batteries!F:F)/1000</f>
        <v>52.25</v>
      </c>
      <c r="J33" s="2" t="e" cm="1">
        <f t="array" ref="J33">_xlfn.XLOOKUP(B33, Batteries!A:A, Batteries!E:E*Batteries!G:G)/1000</f>
        <v>#N/A</v>
      </c>
      <c r="K33" t="e">
        <f>C33/H33/Calculations!$B$6 + Calculations!$B$3</f>
        <v>#N/A</v>
      </c>
      <c r="L33" t="e">
        <f>(C33*Calculations!$B$7/H33/Calculations!$B$6)</f>
        <v>#N/A</v>
      </c>
      <c r="M33" t="e">
        <f>(C33*Calculations!$B$7/H33/Calculations!$B$6) + Calculations!$B$3</f>
        <v>#N/A</v>
      </c>
      <c r="N33" t="e">
        <f>_xlfn.XLOOKUP(B33, Batteries!A:A, Batteries!E:E)/1000*60/K33</f>
        <v>#N/A</v>
      </c>
      <c r="O33" t="e">
        <f>_xlfn.XLOOKUP(A33, Motors!A:A, Motors!F:F)*4+_xlfn.XLOOKUP('Results (DO NOT EDIT)'!B33, Batteries!A:A, Batteries!D:D)</f>
        <v>#N/A</v>
      </c>
    </row>
    <row r="34" spans="1:15" ht="15" customHeight="1">
      <c r="A34">
        <f>MOD(ROW()-2, Calculations!$B$8) + 1</f>
        <v>1</v>
      </c>
      <c r="B34">
        <f>INT((ROW()-2)/Calculations!$B$8) + 1</f>
        <v>17</v>
      </c>
      <c r="C34" t="e">
        <f>Calculations!$B$2+_xlfn.XLOOKUP(A34, Motors!A:A, Motors!D:D)*Calculations!$B$5+_xlfn.XLOOKUP(B34, Batteries!A:A, Batteries!C:C)</f>
        <v>#N/A</v>
      </c>
      <c r="D34" t="e">
        <f>C34*Calculations!$B$4/Calculations!$B$5</f>
        <v>#N/A</v>
      </c>
      <c r="E34" t="e">
        <f t="shared" si="0"/>
        <v>#N/A</v>
      </c>
      <c r="F34" s="2">
        <f>_xlfn.MAXIFS(Motors!$E$2:$E$75, Motors!$A$2:$A$75, A34)</f>
        <v>156.57</v>
      </c>
      <c r="G34" t="e" cm="1">
        <f t="array" ref="G34">INDEX(_xlfn._xlws.FILTER(Motors!$J$2:$J$75, Motors!$A$2:$A$75='Results (DO NOT EDIT)'!$A34), MATCH(TRUE, INDEX(ABS(_xlfn._xlws.FILTER(Motors!$G$2:$G$75, Motors!$A$2:$A$75='Results (DO NOT EDIT)'!$A34) - 'Results (DO NOT EDIT)'!$D34) = MIN(INDEX(ABS(_xlfn._xlws.FILTER(Motors!$G$2:$G$75, Motors!$A$2:$A$75='Results (DO NOT EDIT)'!$A34) - 'Results (DO NOT EDIT)'!$D34), 0)), 0), 0))</f>
        <v>#N/A</v>
      </c>
      <c r="H34" s="2" t="e" cm="1">
        <f t="array" ref="H34">INDEX(
  Motors!$I$2:$I$75,
  MATCH(1, (Motors!$A$2:$A$75='Results (DO NOT EDIT)'!A34)*(Motors!$J$2:$J$75='Results (DO NOT EDIT)'!G34), 0)
)</f>
        <v>#N/A</v>
      </c>
      <c r="I34" s="2" cm="1">
        <f t="array" ref="I34">_xlfn.XLOOKUP(A34, Batteries!A:A, Batteries!E:E*Batteries!F:F)/1000</f>
        <v>72</v>
      </c>
      <c r="J34" s="2" t="e" cm="1">
        <f t="array" ref="J34">_xlfn.XLOOKUP(B34, Batteries!A:A, Batteries!E:E*Batteries!G:G)/1000</f>
        <v>#N/A</v>
      </c>
      <c r="K34" t="e">
        <f>C34/H34/Calculations!$B$6 + Calculations!$B$3</f>
        <v>#N/A</v>
      </c>
      <c r="L34" t="e">
        <f>(C34*Calculations!$B$7/H34/Calculations!$B$6)</f>
        <v>#N/A</v>
      </c>
      <c r="M34" t="e">
        <f>(C34*Calculations!$B$7/H34/Calculations!$B$6) + Calculations!$B$3</f>
        <v>#N/A</v>
      </c>
      <c r="N34" t="e">
        <f>_xlfn.XLOOKUP(B34, Batteries!A:A, Batteries!E:E)/1000*60/K34</f>
        <v>#N/A</v>
      </c>
      <c r="O34" t="e">
        <f>_xlfn.XLOOKUP(A34, Motors!A:A, Motors!F:F)*4+_xlfn.XLOOKUP('Results (DO NOT EDIT)'!B34, Batteries!A:A, Batteries!D:D)</f>
        <v>#N/A</v>
      </c>
    </row>
    <row r="35" spans="1:15" ht="15" customHeight="1">
      <c r="A35">
        <f>MOD(ROW()-2, Calculations!$B$8) + 1</f>
        <v>2</v>
      </c>
      <c r="B35">
        <f>INT((ROW()-2)/Calculations!$B$8) + 1</f>
        <v>17</v>
      </c>
      <c r="C35" t="e">
        <f>Calculations!$B$2+_xlfn.XLOOKUP(A35, Motors!A:A, Motors!D:D)*Calculations!$B$5+_xlfn.XLOOKUP(B35, Batteries!A:A, Batteries!C:C)</f>
        <v>#N/A</v>
      </c>
      <c r="D35" t="e">
        <f>C35*Calculations!$B$4/Calculations!$B$5</f>
        <v>#N/A</v>
      </c>
      <c r="E35" t="e">
        <f t="shared" si="0"/>
        <v>#N/A</v>
      </c>
      <c r="F35" s="2">
        <f>_xlfn.MAXIFS(Motors!$E$2:$E$75, Motors!$A$2:$A$75, A35)</f>
        <v>115</v>
      </c>
      <c r="G35" t="e" cm="1">
        <f t="array" ref="G35">INDEX(_xlfn._xlws.FILTER(Motors!$J$2:$J$75, Motors!$A$2:$A$75='Results (DO NOT EDIT)'!$A35), MATCH(TRUE, INDEX(ABS(_xlfn._xlws.FILTER(Motors!$G$2:$G$75, Motors!$A$2:$A$75='Results (DO NOT EDIT)'!$A35) - 'Results (DO NOT EDIT)'!$D35) = MIN(INDEX(ABS(_xlfn._xlws.FILTER(Motors!$G$2:$G$75, Motors!$A$2:$A$75='Results (DO NOT EDIT)'!$A35) - 'Results (DO NOT EDIT)'!$D35), 0)), 0), 0))</f>
        <v>#N/A</v>
      </c>
      <c r="H35" s="2" t="e" cm="1">
        <f t="array" ref="H35">INDEX(
  Motors!$I$2:$I$75,
  MATCH(1, (Motors!$A$2:$A$75='Results (DO NOT EDIT)'!A35)*(Motors!$J$2:$J$75='Results (DO NOT EDIT)'!G35), 0)
)</f>
        <v>#N/A</v>
      </c>
      <c r="I35" s="2" cm="1">
        <f t="array" ref="I35">_xlfn.XLOOKUP(A35, Batteries!A:A, Batteries!E:E*Batteries!F:F)/1000</f>
        <v>52.25</v>
      </c>
      <c r="J35" s="2" t="e" cm="1">
        <f t="array" ref="J35">_xlfn.XLOOKUP(B35, Batteries!A:A, Batteries!E:E*Batteries!G:G)/1000</f>
        <v>#N/A</v>
      </c>
      <c r="K35" t="e">
        <f>C35/H35/Calculations!$B$6 + Calculations!$B$3</f>
        <v>#N/A</v>
      </c>
      <c r="L35" t="e">
        <f>(C35*Calculations!$B$7/H35/Calculations!$B$6)</f>
        <v>#N/A</v>
      </c>
      <c r="M35" t="e">
        <f>(C35*Calculations!$B$7/H35/Calculations!$B$6) + Calculations!$B$3</f>
        <v>#N/A</v>
      </c>
      <c r="N35" t="e">
        <f>_xlfn.XLOOKUP(B35, Batteries!A:A, Batteries!E:E)/1000*60/K35</f>
        <v>#N/A</v>
      </c>
      <c r="O35" t="e">
        <f>_xlfn.XLOOKUP(A35, Motors!A:A, Motors!F:F)*4+_xlfn.XLOOKUP('Results (DO NOT EDIT)'!B35, Batteries!A:A, Batteries!D:D)</f>
        <v>#N/A</v>
      </c>
    </row>
    <row r="36" spans="1:15" ht="15" customHeight="1">
      <c r="A36">
        <f>MOD(ROW()-2, Calculations!$B$8) + 1</f>
        <v>1</v>
      </c>
      <c r="B36">
        <f>INT((ROW()-2)/Calculations!$B$8) + 1</f>
        <v>18</v>
      </c>
      <c r="C36" t="e">
        <f>Calculations!$B$2+_xlfn.XLOOKUP(A36, Motors!A:A, Motors!D:D)*Calculations!$B$5+_xlfn.XLOOKUP(B36, Batteries!A:A, Batteries!C:C)</f>
        <v>#N/A</v>
      </c>
      <c r="D36" t="e">
        <f>C36*Calculations!$B$4/Calculations!$B$5</f>
        <v>#N/A</v>
      </c>
      <c r="E36" t="e">
        <f t="shared" si="0"/>
        <v>#N/A</v>
      </c>
      <c r="F36" s="2">
        <f>_xlfn.MAXIFS(Motors!$E$2:$E$75, Motors!$A$2:$A$75, A36)</f>
        <v>156.57</v>
      </c>
      <c r="G36" t="e" cm="1">
        <f t="array" ref="G36">INDEX(_xlfn._xlws.FILTER(Motors!$J$2:$J$75, Motors!$A$2:$A$75='Results (DO NOT EDIT)'!$A36), MATCH(TRUE, INDEX(ABS(_xlfn._xlws.FILTER(Motors!$G$2:$G$75, Motors!$A$2:$A$75='Results (DO NOT EDIT)'!$A36) - 'Results (DO NOT EDIT)'!$D36) = MIN(INDEX(ABS(_xlfn._xlws.FILTER(Motors!$G$2:$G$75, Motors!$A$2:$A$75='Results (DO NOT EDIT)'!$A36) - 'Results (DO NOT EDIT)'!$D36), 0)), 0), 0))</f>
        <v>#N/A</v>
      </c>
      <c r="H36" s="2" t="e" cm="1">
        <f t="array" ref="H36">INDEX(
  Motors!$I$2:$I$75,
  MATCH(1, (Motors!$A$2:$A$75='Results (DO NOT EDIT)'!A36)*(Motors!$J$2:$J$75='Results (DO NOT EDIT)'!G36), 0)
)</f>
        <v>#N/A</v>
      </c>
      <c r="I36" s="2" cm="1">
        <f t="array" ref="I36">_xlfn.XLOOKUP(A36, Batteries!A:A, Batteries!E:E*Batteries!F:F)/1000</f>
        <v>72</v>
      </c>
      <c r="J36" s="2" t="e" cm="1">
        <f t="array" ref="J36">_xlfn.XLOOKUP(B36, Batteries!A:A, Batteries!E:E*Batteries!G:G)/1000</f>
        <v>#N/A</v>
      </c>
      <c r="K36" t="e">
        <f>C36/H36/Calculations!$B$6 + Calculations!$B$3</f>
        <v>#N/A</v>
      </c>
      <c r="L36" t="e">
        <f>(C36*Calculations!$B$7/H36/Calculations!$B$6)</f>
        <v>#N/A</v>
      </c>
      <c r="M36" t="e">
        <f>(C36*Calculations!$B$7/H36/Calculations!$B$6) + Calculations!$B$3</f>
        <v>#N/A</v>
      </c>
      <c r="N36" t="e">
        <f>_xlfn.XLOOKUP(B36, Batteries!A:A, Batteries!E:E)/1000*60/K36</f>
        <v>#N/A</v>
      </c>
      <c r="O36" t="e">
        <f>_xlfn.XLOOKUP(A36, Motors!A:A, Motors!F:F)*4+_xlfn.XLOOKUP('Results (DO NOT EDIT)'!B36, Batteries!A:A, Batteries!D:D)</f>
        <v>#N/A</v>
      </c>
    </row>
    <row r="37" spans="1:15" ht="15" customHeight="1">
      <c r="A37">
        <f>MOD(ROW()-2, Calculations!$B$8) + 1</f>
        <v>2</v>
      </c>
      <c r="B37">
        <f>INT((ROW()-2)/Calculations!$B$8) + 1</f>
        <v>18</v>
      </c>
      <c r="C37" t="e">
        <f>Calculations!$B$2+_xlfn.XLOOKUP(A37, Motors!A:A, Motors!D:D)*Calculations!$B$5+_xlfn.XLOOKUP(B37, Batteries!A:A, Batteries!C:C)</f>
        <v>#N/A</v>
      </c>
      <c r="D37" t="e">
        <f>C37*Calculations!$B$4/Calculations!$B$5</f>
        <v>#N/A</v>
      </c>
      <c r="E37" t="e">
        <f t="shared" si="0"/>
        <v>#N/A</v>
      </c>
      <c r="F37" s="2">
        <f>_xlfn.MAXIFS(Motors!$E$2:$E$75, Motors!$A$2:$A$75, A37)</f>
        <v>115</v>
      </c>
      <c r="G37" t="e" cm="1">
        <f t="array" ref="G37">INDEX(_xlfn._xlws.FILTER(Motors!$J$2:$J$75, Motors!$A$2:$A$75='Results (DO NOT EDIT)'!$A37), MATCH(TRUE, INDEX(ABS(_xlfn._xlws.FILTER(Motors!$G$2:$G$75, Motors!$A$2:$A$75='Results (DO NOT EDIT)'!$A37) - 'Results (DO NOT EDIT)'!$D37) = MIN(INDEX(ABS(_xlfn._xlws.FILTER(Motors!$G$2:$G$75, Motors!$A$2:$A$75='Results (DO NOT EDIT)'!$A37) - 'Results (DO NOT EDIT)'!$D37), 0)), 0), 0))</f>
        <v>#N/A</v>
      </c>
      <c r="H37" s="2" t="e" cm="1">
        <f t="array" ref="H37">INDEX(
  Motors!$I$2:$I$75,
  MATCH(1, (Motors!$A$2:$A$75='Results (DO NOT EDIT)'!A37)*(Motors!$J$2:$J$75='Results (DO NOT EDIT)'!G37), 0)
)</f>
        <v>#N/A</v>
      </c>
      <c r="I37" s="2" cm="1">
        <f t="array" ref="I37">_xlfn.XLOOKUP(A37, Batteries!A:A, Batteries!E:E*Batteries!F:F)/1000</f>
        <v>52.25</v>
      </c>
      <c r="J37" s="2" t="e" cm="1">
        <f t="array" ref="J37">_xlfn.XLOOKUP(B37, Batteries!A:A, Batteries!E:E*Batteries!G:G)/1000</f>
        <v>#N/A</v>
      </c>
      <c r="K37" t="e">
        <f>C37/H37/Calculations!$B$6 + Calculations!$B$3</f>
        <v>#N/A</v>
      </c>
      <c r="L37" t="e">
        <f>(C37*Calculations!$B$7/H37/Calculations!$B$6)</f>
        <v>#N/A</v>
      </c>
      <c r="M37" t="e">
        <f>(C37*Calculations!$B$7/H37/Calculations!$B$6) + Calculations!$B$3</f>
        <v>#N/A</v>
      </c>
      <c r="N37" t="e">
        <f>_xlfn.XLOOKUP(B37, Batteries!A:A, Batteries!E:E)/1000*60/K37</f>
        <v>#N/A</v>
      </c>
      <c r="O37" t="e">
        <f>_xlfn.XLOOKUP(A37, Motors!A:A, Motors!F:F)*4+_xlfn.XLOOKUP('Results (DO NOT EDIT)'!B37, Batteries!A:A, Batteries!D:D)</f>
        <v>#N/A</v>
      </c>
    </row>
    <row r="38" spans="1:15" ht="15" customHeight="1">
      <c r="A38">
        <f>MOD(ROW()-2, Calculations!$B$8) + 1</f>
        <v>1</v>
      </c>
      <c r="B38">
        <f>INT((ROW()-2)/Calculations!$B$8) + 1</f>
        <v>19</v>
      </c>
      <c r="C38" t="e">
        <f>Calculations!$B$2+_xlfn.XLOOKUP(A38, Motors!A:A, Motors!D:D)*Calculations!$B$5+_xlfn.XLOOKUP(B38, Batteries!A:A, Batteries!C:C)</f>
        <v>#N/A</v>
      </c>
      <c r="D38" t="e">
        <f>C38*Calculations!$B$4/Calculations!$B$5</f>
        <v>#N/A</v>
      </c>
      <c r="E38" t="e">
        <f t="shared" si="0"/>
        <v>#N/A</v>
      </c>
      <c r="F38" s="2">
        <f>_xlfn.MAXIFS(Motors!$E$2:$E$75, Motors!$A$2:$A$75, A38)</f>
        <v>156.57</v>
      </c>
      <c r="G38" t="e" cm="1">
        <f t="array" ref="G38">INDEX(_xlfn._xlws.FILTER(Motors!$J$2:$J$75, Motors!$A$2:$A$75='Results (DO NOT EDIT)'!$A38), MATCH(TRUE, INDEX(ABS(_xlfn._xlws.FILTER(Motors!$G$2:$G$75, Motors!$A$2:$A$75='Results (DO NOT EDIT)'!$A38) - 'Results (DO NOT EDIT)'!$D38) = MIN(INDEX(ABS(_xlfn._xlws.FILTER(Motors!$G$2:$G$75, Motors!$A$2:$A$75='Results (DO NOT EDIT)'!$A38) - 'Results (DO NOT EDIT)'!$D38), 0)), 0), 0))</f>
        <v>#N/A</v>
      </c>
      <c r="H38" s="2" t="e" cm="1">
        <f t="array" ref="H38">INDEX(
  Motors!$I$2:$I$75,
  MATCH(1, (Motors!$A$2:$A$75='Results (DO NOT EDIT)'!A38)*(Motors!$J$2:$J$75='Results (DO NOT EDIT)'!G38), 0)
)</f>
        <v>#N/A</v>
      </c>
      <c r="I38" s="2" cm="1">
        <f t="array" ref="I38">_xlfn.XLOOKUP(A38, Batteries!A:A, Batteries!E:E*Batteries!F:F)/1000</f>
        <v>72</v>
      </c>
      <c r="J38" s="2" t="e" cm="1">
        <f t="array" ref="J38">_xlfn.XLOOKUP(B38, Batteries!A:A, Batteries!E:E*Batteries!G:G)/1000</f>
        <v>#N/A</v>
      </c>
      <c r="K38" t="e">
        <f>C38/H38/Calculations!$B$6 + Calculations!$B$3</f>
        <v>#N/A</v>
      </c>
      <c r="L38" t="e">
        <f>(C38*Calculations!$B$7/H38/Calculations!$B$6)</f>
        <v>#N/A</v>
      </c>
      <c r="M38" t="e">
        <f>(C38*Calculations!$B$7/H38/Calculations!$B$6) + Calculations!$B$3</f>
        <v>#N/A</v>
      </c>
      <c r="N38" t="e">
        <f>_xlfn.XLOOKUP(B38, Batteries!A:A, Batteries!E:E)/1000*60/K38</f>
        <v>#N/A</v>
      </c>
      <c r="O38" t="e">
        <f>_xlfn.XLOOKUP(A38, Motors!A:A, Motors!F:F)*4+_xlfn.XLOOKUP('Results (DO NOT EDIT)'!B38, Batteries!A:A, Batteries!D:D)</f>
        <v>#N/A</v>
      </c>
    </row>
    <row r="39" spans="1:15" ht="15" customHeight="1">
      <c r="A39">
        <f>MOD(ROW()-2, Calculations!$B$8) + 1</f>
        <v>2</v>
      </c>
      <c r="B39">
        <f>INT((ROW()-2)/Calculations!$B$8) + 1</f>
        <v>19</v>
      </c>
      <c r="C39" t="e">
        <f>Calculations!$B$2+_xlfn.XLOOKUP(A39, Motors!A:A, Motors!D:D)*Calculations!$B$5+_xlfn.XLOOKUP(B39, Batteries!A:A, Batteries!C:C)</f>
        <v>#N/A</v>
      </c>
      <c r="D39" t="e">
        <f>C39*Calculations!$B$4/Calculations!$B$5</f>
        <v>#N/A</v>
      </c>
      <c r="E39" t="e">
        <f t="shared" si="0"/>
        <v>#N/A</v>
      </c>
      <c r="F39" s="2">
        <f>_xlfn.MAXIFS(Motors!$E$2:$E$75, Motors!$A$2:$A$75, A39)</f>
        <v>115</v>
      </c>
      <c r="G39" t="e" cm="1">
        <f t="array" ref="G39">INDEX(_xlfn._xlws.FILTER(Motors!$J$2:$J$75, Motors!$A$2:$A$75='Results (DO NOT EDIT)'!$A39), MATCH(TRUE, INDEX(ABS(_xlfn._xlws.FILTER(Motors!$G$2:$G$75, Motors!$A$2:$A$75='Results (DO NOT EDIT)'!$A39) - 'Results (DO NOT EDIT)'!$D39) = MIN(INDEX(ABS(_xlfn._xlws.FILTER(Motors!$G$2:$G$75, Motors!$A$2:$A$75='Results (DO NOT EDIT)'!$A39) - 'Results (DO NOT EDIT)'!$D39), 0)), 0), 0))</f>
        <v>#N/A</v>
      </c>
      <c r="H39" s="2" t="e" cm="1">
        <f t="array" ref="H39">INDEX(
  Motors!$I$2:$I$75,
  MATCH(1, (Motors!$A$2:$A$75='Results (DO NOT EDIT)'!A39)*(Motors!$J$2:$J$75='Results (DO NOT EDIT)'!G39), 0)
)</f>
        <v>#N/A</v>
      </c>
      <c r="I39" s="2" cm="1">
        <f t="array" ref="I39">_xlfn.XLOOKUP(A39, Batteries!A:A, Batteries!E:E*Batteries!F:F)/1000</f>
        <v>52.25</v>
      </c>
      <c r="J39" s="2" t="e" cm="1">
        <f t="array" ref="J39">_xlfn.XLOOKUP(B39, Batteries!A:A, Batteries!E:E*Batteries!G:G)/1000</f>
        <v>#N/A</v>
      </c>
      <c r="K39" t="e">
        <f>C39/H39/Calculations!$B$6 + Calculations!$B$3</f>
        <v>#N/A</v>
      </c>
      <c r="L39" t="e">
        <f>(C39*Calculations!$B$7/H39/Calculations!$B$6)</f>
        <v>#N/A</v>
      </c>
      <c r="M39" t="e">
        <f>(C39*Calculations!$B$7/H39/Calculations!$B$6) + Calculations!$B$3</f>
        <v>#N/A</v>
      </c>
      <c r="N39" t="e">
        <f>_xlfn.XLOOKUP(B39, Batteries!A:A, Batteries!E:E)/1000*60/K39</f>
        <v>#N/A</v>
      </c>
      <c r="O39" t="e">
        <f>_xlfn.XLOOKUP(A39, Motors!A:A, Motors!F:F)*4+_xlfn.XLOOKUP('Results (DO NOT EDIT)'!B39, Batteries!A:A, Batteries!D:D)</f>
        <v>#N/A</v>
      </c>
    </row>
    <row r="40" spans="1:15" ht="15" customHeight="1">
      <c r="A40">
        <f>MOD(ROW()-2, Calculations!$B$8) + 1</f>
        <v>1</v>
      </c>
      <c r="B40">
        <f>INT((ROW()-2)/Calculations!$B$8) + 1</f>
        <v>20</v>
      </c>
      <c r="C40" t="e">
        <f>Calculations!$B$2+_xlfn.XLOOKUP(A40, Motors!A:A, Motors!D:D)*Calculations!$B$5+_xlfn.XLOOKUP(B40, Batteries!A:A, Batteries!C:C)</f>
        <v>#N/A</v>
      </c>
      <c r="D40" t="e">
        <f>C40*Calculations!$B$4/Calculations!$B$5</f>
        <v>#N/A</v>
      </c>
      <c r="E40" t="e">
        <f t="shared" si="0"/>
        <v>#N/A</v>
      </c>
      <c r="F40" s="2">
        <f>_xlfn.MAXIFS(Motors!$E$2:$E$75, Motors!$A$2:$A$75, A40)</f>
        <v>156.57</v>
      </c>
      <c r="G40" t="e" cm="1">
        <f t="array" ref="G40">INDEX(_xlfn._xlws.FILTER(Motors!$J$2:$J$75, Motors!$A$2:$A$75='Results (DO NOT EDIT)'!$A40), MATCH(TRUE, INDEX(ABS(_xlfn._xlws.FILTER(Motors!$G$2:$G$75, Motors!$A$2:$A$75='Results (DO NOT EDIT)'!$A40) - 'Results (DO NOT EDIT)'!$D40) = MIN(INDEX(ABS(_xlfn._xlws.FILTER(Motors!$G$2:$G$75, Motors!$A$2:$A$75='Results (DO NOT EDIT)'!$A40) - 'Results (DO NOT EDIT)'!$D40), 0)), 0), 0))</f>
        <v>#N/A</v>
      </c>
      <c r="H40" s="2" t="e" cm="1">
        <f t="array" ref="H40">INDEX(
  Motors!$I$2:$I$75,
  MATCH(1, (Motors!$A$2:$A$75='Results (DO NOT EDIT)'!A40)*(Motors!$J$2:$J$75='Results (DO NOT EDIT)'!G40), 0)
)</f>
        <v>#N/A</v>
      </c>
      <c r="I40" s="2" cm="1">
        <f t="array" ref="I40">_xlfn.XLOOKUP(A40, Batteries!A:A, Batteries!E:E*Batteries!F:F)/1000</f>
        <v>72</v>
      </c>
      <c r="J40" s="2" t="e" cm="1">
        <f t="array" ref="J40">_xlfn.XLOOKUP(B40, Batteries!A:A, Batteries!E:E*Batteries!G:G)/1000</f>
        <v>#N/A</v>
      </c>
      <c r="K40" t="e">
        <f>C40/H40/Calculations!$B$6 + Calculations!$B$3</f>
        <v>#N/A</v>
      </c>
      <c r="L40" t="e">
        <f>(C40*Calculations!$B$7/H40/Calculations!$B$6)</f>
        <v>#N/A</v>
      </c>
      <c r="M40" t="e">
        <f>(C40*Calculations!$B$7/H40/Calculations!$B$6) + Calculations!$B$3</f>
        <v>#N/A</v>
      </c>
      <c r="N40" t="e">
        <f>_xlfn.XLOOKUP(B40, Batteries!A:A, Batteries!E:E)/1000*60/K40</f>
        <v>#N/A</v>
      </c>
      <c r="O40" t="e">
        <f>_xlfn.XLOOKUP(A40, Motors!A:A, Motors!F:F)*4+_xlfn.XLOOKUP('Results (DO NOT EDIT)'!B40, Batteries!A:A, Batteries!D:D)</f>
        <v>#N/A</v>
      </c>
    </row>
    <row r="41" spans="1:15" ht="15" customHeight="1">
      <c r="A41">
        <f>MOD(ROW()-2, Calculations!$B$8) + 1</f>
        <v>2</v>
      </c>
      <c r="B41">
        <f>INT((ROW()-2)/Calculations!$B$8) + 1</f>
        <v>20</v>
      </c>
      <c r="C41" t="e">
        <f>Calculations!$B$2+_xlfn.XLOOKUP(A41, Motors!A:A, Motors!D:D)*Calculations!$B$5+_xlfn.XLOOKUP(B41, Batteries!A:A, Batteries!C:C)</f>
        <v>#N/A</v>
      </c>
      <c r="D41" t="e">
        <f>C41*Calculations!$B$4/Calculations!$B$5</f>
        <v>#N/A</v>
      </c>
      <c r="E41" t="e">
        <f t="shared" si="0"/>
        <v>#N/A</v>
      </c>
      <c r="F41" s="2">
        <f>_xlfn.MAXIFS(Motors!$E$2:$E$75, Motors!$A$2:$A$75, A41)</f>
        <v>115</v>
      </c>
      <c r="G41" t="e" cm="1">
        <f t="array" ref="G41">INDEX(_xlfn._xlws.FILTER(Motors!$J$2:$J$75, Motors!$A$2:$A$75='Results (DO NOT EDIT)'!$A41), MATCH(TRUE, INDEX(ABS(_xlfn._xlws.FILTER(Motors!$G$2:$G$75, Motors!$A$2:$A$75='Results (DO NOT EDIT)'!$A41) - 'Results (DO NOT EDIT)'!$D41) = MIN(INDEX(ABS(_xlfn._xlws.FILTER(Motors!$G$2:$G$75, Motors!$A$2:$A$75='Results (DO NOT EDIT)'!$A41) - 'Results (DO NOT EDIT)'!$D41), 0)), 0), 0))</f>
        <v>#N/A</v>
      </c>
      <c r="H41" s="2" t="e" cm="1">
        <f t="array" ref="H41">INDEX(
  Motors!$I$2:$I$75,
  MATCH(1, (Motors!$A$2:$A$75='Results (DO NOT EDIT)'!A41)*(Motors!$J$2:$J$75='Results (DO NOT EDIT)'!G41), 0)
)</f>
        <v>#N/A</v>
      </c>
      <c r="I41" s="2" cm="1">
        <f t="array" ref="I41">_xlfn.XLOOKUP(A41, Batteries!A:A, Batteries!E:E*Batteries!F:F)/1000</f>
        <v>52.25</v>
      </c>
      <c r="J41" s="2" t="e" cm="1">
        <f t="array" ref="J41">_xlfn.XLOOKUP(B41, Batteries!A:A, Batteries!E:E*Batteries!G:G)/1000</f>
        <v>#N/A</v>
      </c>
      <c r="K41" t="e">
        <f>C41/H41/Calculations!$B$6 + Calculations!$B$3</f>
        <v>#N/A</v>
      </c>
      <c r="L41" t="e">
        <f>(C41*Calculations!$B$7/H41/Calculations!$B$6)</f>
        <v>#N/A</v>
      </c>
      <c r="M41" t="e">
        <f>(C41*Calculations!$B$7/H41/Calculations!$B$6) + Calculations!$B$3</f>
        <v>#N/A</v>
      </c>
      <c r="N41" t="e">
        <f>_xlfn.XLOOKUP(B41, Batteries!A:A, Batteries!E:E)/1000*60/K41</f>
        <v>#N/A</v>
      </c>
      <c r="O41" t="e">
        <f>_xlfn.XLOOKUP(A41, Motors!A:A, Motors!F:F)*4+_xlfn.XLOOKUP('Results (DO NOT EDIT)'!B41, Batteries!A:A, Batteries!D:D)</f>
        <v>#N/A</v>
      </c>
    </row>
    <row r="42" spans="1:15" ht="15" customHeight="1">
      <c r="A42">
        <f>MOD(ROW()-2, Calculations!$B$8) + 1</f>
        <v>1</v>
      </c>
      <c r="B42">
        <f>INT((ROW()-2)/Calculations!$B$8) + 1</f>
        <v>21</v>
      </c>
      <c r="C42" t="e">
        <f>Calculations!$B$2+_xlfn.XLOOKUP(A42, Motors!A:A, Motors!D:D)*Calculations!$B$5+_xlfn.XLOOKUP(B42, Batteries!A:A, Batteries!C:C)</f>
        <v>#N/A</v>
      </c>
      <c r="D42" t="e">
        <f>C42*Calculations!$B$4/Calculations!$B$5</f>
        <v>#N/A</v>
      </c>
      <c r="E42" t="e">
        <f t="shared" si="0"/>
        <v>#N/A</v>
      </c>
      <c r="F42" s="2">
        <f>_xlfn.MAXIFS(Motors!$E$2:$E$75, Motors!$A$2:$A$75, A42)</f>
        <v>156.57</v>
      </c>
      <c r="G42" t="e" cm="1">
        <f t="array" ref="G42">INDEX(_xlfn._xlws.FILTER(Motors!$J$2:$J$75, Motors!$A$2:$A$75='Results (DO NOT EDIT)'!$A42), MATCH(TRUE, INDEX(ABS(_xlfn._xlws.FILTER(Motors!$G$2:$G$75, Motors!$A$2:$A$75='Results (DO NOT EDIT)'!$A42) - 'Results (DO NOT EDIT)'!$D42) = MIN(INDEX(ABS(_xlfn._xlws.FILTER(Motors!$G$2:$G$75, Motors!$A$2:$A$75='Results (DO NOT EDIT)'!$A42) - 'Results (DO NOT EDIT)'!$D42), 0)), 0), 0))</f>
        <v>#N/A</v>
      </c>
      <c r="H42" s="2" t="e" cm="1">
        <f t="array" ref="H42">INDEX(
  Motors!$I$2:$I$75,
  MATCH(1, (Motors!$A$2:$A$75='Results (DO NOT EDIT)'!A42)*(Motors!$J$2:$J$75='Results (DO NOT EDIT)'!G42), 0)
)</f>
        <v>#N/A</v>
      </c>
      <c r="I42" s="2" cm="1">
        <f t="array" ref="I42">_xlfn.XLOOKUP(A42, Batteries!A:A, Batteries!E:E*Batteries!F:F)/1000</f>
        <v>72</v>
      </c>
      <c r="J42" s="2" t="e" cm="1">
        <f t="array" ref="J42">_xlfn.XLOOKUP(B42, Batteries!A:A, Batteries!E:E*Batteries!G:G)/1000</f>
        <v>#N/A</v>
      </c>
      <c r="K42" t="e">
        <f>C42/H42/Calculations!$B$6 + Calculations!$B$3</f>
        <v>#N/A</v>
      </c>
      <c r="L42" t="e">
        <f>(C42*Calculations!$B$7/H42/Calculations!$B$6)</f>
        <v>#N/A</v>
      </c>
      <c r="M42" t="e">
        <f>(C42*Calculations!$B$7/H42/Calculations!$B$6) + Calculations!$B$3</f>
        <v>#N/A</v>
      </c>
      <c r="N42" t="e">
        <f>_xlfn.XLOOKUP(B42, Batteries!A:A, Batteries!E:E)/1000*60/K42</f>
        <v>#N/A</v>
      </c>
      <c r="O42" t="e">
        <f>_xlfn.XLOOKUP(A42, Motors!A:A, Motors!F:F)*4+_xlfn.XLOOKUP('Results (DO NOT EDIT)'!B42, Batteries!A:A, Batteries!D:D)</f>
        <v>#N/A</v>
      </c>
    </row>
    <row r="43" spans="1:15" ht="15" customHeight="1">
      <c r="A43">
        <f>MOD(ROW()-2, Calculations!$B$8) + 1</f>
        <v>2</v>
      </c>
      <c r="B43">
        <f>INT((ROW()-2)/Calculations!$B$8) + 1</f>
        <v>21</v>
      </c>
      <c r="C43" t="e">
        <f>Calculations!$B$2+_xlfn.XLOOKUP(A43, Motors!A:A, Motors!D:D)*Calculations!$B$5+_xlfn.XLOOKUP(B43, Batteries!A:A, Batteries!C:C)</f>
        <v>#N/A</v>
      </c>
      <c r="D43" t="e">
        <f>C43*Calculations!$B$4/Calculations!$B$5</f>
        <v>#N/A</v>
      </c>
      <c r="E43" t="e">
        <f t="shared" si="0"/>
        <v>#N/A</v>
      </c>
      <c r="F43" s="2">
        <f>_xlfn.MAXIFS(Motors!$E$2:$E$75, Motors!$A$2:$A$75, A43)</f>
        <v>115</v>
      </c>
      <c r="G43" t="e" cm="1">
        <f t="array" ref="G43">INDEX(_xlfn._xlws.FILTER(Motors!$J$2:$J$75, Motors!$A$2:$A$75='Results (DO NOT EDIT)'!$A43), MATCH(TRUE, INDEX(ABS(_xlfn._xlws.FILTER(Motors!$G$2:$G$75, Motors!$A$2:$A$75='Results (DO NOT EDIT)'!$A43) - 'Results (DO NOT EDIT)'!$D43) = MIN(INDEX(ABS(_xlfn._xlws.FILTER(Motors!$G$2:$G$75, Motors!$A$2:$A$75='Results (DO NOT EDIT)'!$A43) - 'Results (DO NOT EDIT)'!$D43), 0)), 0), 0))</f>
        <v>#N/A</v>
      </c>
      <c r="H43" s="2" t="e" cm="1">
        <f t="array" ref="H43">INDEX(
  Motors!$I$2:$I$75,
  MATCH(1, (Motors!$A$2:$A$75='Results (DO NOT EDIT)'!A43)*(Motors!$J$2:$J$75='Results (DO NOT EDIT)'!G43), 0)
)</f>
        <v>#N/A</v>
      </c>
      <c r="I43" s="2" cm="1">
        <f t="array" ref="I43">_xlfn.XLOOKUP(A43, Batteries!A:A, Batteries!E:E*Batteries!F:F)/1000</f>
        <v>52.25</v>
      </c>
      <c r="J43" s="2" t="e" cm="1">
        <f t="array" ref="J43">_xlfn.XLOOKUP(B43, Batteries!A:A, Batteries!E:E*Batteries!G:G)/1000</f>
        <v>#N/A</v>
      </c>
      <c r="K43" t="e">
        <f>C43/H43/Calculations!$B$6 + Calculations!$B$3</f>
        <v>#N/A</v>
      </c>
      <c r="L43" t="e">
        <f>(C43*Calculations!$B$7/H43/Calculations!$B$6)</f>
        <v>#N/A</v>
      </c>
      <c r="M43" t="e">
        <f>(C43*Calculations!$B$7/H43/Calculations!$B$6) + Calculations!$B$3</f>
        <v>#N/A</v>
      </c>
      <c r="N43" t="e">
        <f>_xlfn.XLOOKUP(B43, Batteries!A:A, Batteries!E:E)/1000*60/K43</f>
        <v>#N/A</v>
      </c>
      <c r="O43" t="e">
        <f>_xlfn.XLOOKUP(A43, Motors!A:A, Motors!F:F)*4+_xlfn.XLOOKUP('Results (DO NOT EDIT)'!B43, Batteries!A:A, Batteries!D:D)</f>
        <v>#N/A</v>
      </c>
    </row>
    <row r="44" spans="1:15" ht="15" customHeight="1">
      <c r="A44">
        <f>MOD(ROW()-2, Calculations!$B$8) + 1</f>
        <v>1</v>
      </c>
      <c r="B44">
        <f>INT((ROW()-2)/Calculations!$B$8) + 1</f>
        <v>22</v>
      </c>
      <c r="C44" t="e">
        <f>Calculations!$B$2+_xlfn.XLOOKUP(A44, Motors!A:A, Motors!D:D)*Calculations!$B$5+_xlfn.XLOOKUP(B44, Batteries!A:A, Batteries!C:C)</f>
        <v>#N/A</v>
      </c>
      <c r="D44" t="e">
        <f>C44*Calculations!$B$4/Calculations!$B$5</f>
        <v>#N/A</v>
      </c>
      <c r="E44" t="e">
        <f t="shared" si="0"/>
        <v>#N/A</v>
      </c>
      <c r="F44" s="2">
        <f>_xlfn.MAXIFS(Motors!$E$2:$E$75, Motors!$A$2:$A$75, A44)</f>
        <v>156.57</v>
      </c>
      <c r="G44" t="e" cm="1">
        <f t="array" ref="G44">INDEX(_xlfn._xlws.FILTER(Motors!$J$2:$J$75, Motors!$A$2:$A$75='Results (DO NOT EDIT)'!$A44), MATCH(TRUE, INDEX(ABS(_xlfn._xlws.FILTER(Motors!$G$2:$G$75, Motors!$A$2:$A$75='Results (DO NOT EDIT)'!$A44) - 'Results (DO NOT EDIT)'!$D44) = MIN(INDEX(ABS(_xlfn._xlws.FILTER(Motors!$G$2:$G$75, Motors!$A$2:$A$75='Results (DO NOT EDIT)'!$A44) - 'Results (DO NOT EDIT)'!$D44), 0)), 0), 0))</f>
        <v>#N/A</v>
      </c>
      <c r="H44" s="2" t="e" cm="1">
        <f t="array" ref="H44">INDEX(
  Motors!$I$2:$I$75,
  MATCH(1, (Motors!$A$2:$A$75='Results (DO NOT EDIT)'!A44)*(Motors!$J$2:$J$75='Results (DO NOT EDIT)'!G44), 0)
)</f>
        <v>#N/A</v>
      </c>
      <c r="I44" s="2" cm="1">
        <f t="array" ref="I44">_xlfn.XLOOKUP(A44, Batteries!A:A, Batteries!E:E*Batteries!F:F)/1000</f>
        <v>72</v>
      </c>
      <c r="J44" s="2" t="e" cm="1">
        <f t="array" ref="J44">_xlfn.XLOOKUP(B44, Batteries!A:A, Batteries!E:E*Batteries!G:G)/1000</f>
        <v>#N/A</v>
      </c>
      <c r="K44" t="e">
        <f>C44/H44/Calculations!$B$6 + Calculations!$B$3</f>
        <v>#N/A</v>
      </c>
      <c r="L44" t="e">
        <f>(C44*Calculations!$B$7/H44/Calculations!$B$6)</f>
        <v>#N/A</v>
      </c>
      <c r="M44" t="e">
        <f>(C44*Calculations!$B$7/H44/Calculations!$B$6) + Calculations!$B$3</f>
        <v>#N/A</v>
      </c>
      <c r="N44" t="e">
        <f>_xlfn.XLOOKUP(B44, Batteries!A:A, Batteries!E:E)/1000*60/K44</f>
        <v>#N/A</v>
      </c>
      <c r="O44" t="e">
        <f>_xlfn.XLOOKUP(A44, Motors!A:A, Motors!F:F)*4+_xlfn.XLOOKUP('Results (DO NOT EDIT)'!B44, Batteries!A:A, Batteries!D:D)</f>
        <v>#N/A</v>
      </c>
    </row>
    <row r="45" spans="1:15" ht="15" customHeight="1">
      <c r="A45">
        <f>MOD(ROW()-2, Calculations!$B$8) + 1</f>
        <v>2</v>
      </c>
      <c r="B45">
        <f>INT((ROW()-2)/Calculations!$B$8) + 1</f>
        <v>22</v>
      </c>
      <c r="C45" t="e">
        <f>Calculations!$B$2+_xlfn.XLOOKUP(A45, Motors!A:A, Motors!D:D)*Calculations!$B$5+_xlfn.XLOOKUP(B45, Batteries!A:A, Batteries!C:C)</f>
        <v>#N/A</v>
      </c>
      <c r="D45" t="e">
        <f>C45*Calculations!$B$4/Calculations!$B$5</f>
        <v>#N/A</v>
      </c>
      <c r="E45" t="e">
        <f t="shared" si="0"/>
        <v>#N/A</v>
      </c>
      <c r="F45" s="2">
        <f>_xlfn.MAXIFS(Motors!$E$2:$E$75, Motors!$A$2:$A$75, A45)</f>
        <v>115</v>
      </c>
      <c r="G45" t="e" cm="1">
        <f t="array" ref="G45">INDEX(_xlfn._xlws.FILTER(Motors!$J$2:$J$75, Motors!$A$2:$A$75='Results (DO NOT EDIT)'!$A45), MATCH(TRUE, INDEX(ABS(_xlfn._xlws.FILTER(Motors!$G$2:$G$75, Motors!$A$2:$A$75='Results (DO NOT EDIT)'!$A45) - 'Results (DO NOT EDIT)'!$D45) = MIN(INDEX(ABS(_xlfn._xlws.FILTER(Motors!$G$2:$G$75, Motors!$A$2:$A$75='Results (DO NOT EDIT)'!$A45) - 'Results (DO NOT EDIT)'!$D45), 0)), 0), 0))</f>
        <v>#N/A</v>
      </c>
      <c r="H45" s="2" t="e" cm="1">
        <f t="array" ref="H45">INDEX(
  Motors!$I$2:$I$75,
  MATCH(1, (Motors!$A$2:$A$75='Results (DO NOT EDIT)'!A45)*(Motors!$J$2:$J$75='Results (DO NOT EDIT)'!G45), 0)
)</f>
        <v>#N/A</v>
      </c>
      <c r="I45" s="2" cm="1">
        <f t="array" ref="I45">_xlfn.XLOOKUP(A45, Batteries!A:A, Batteries!E:E*Batteries!F:F)/1000</f>
        <v>52.25</v>
      </c>
      <c r="J45" s="2" t="e" cm="1">
        <f t="array" ref="J45">_xlfn.XLOOKUP(B45, Batteries!A:A, Batteries!E:E*Batteries!G:G)/1000</f>
        <v>#N/A</v>
      </c>
      <c r="K45" t="e">
        <f>C45/H45/Calculations!$B$6 + Calculations!$B$3</f>
        <v>#N/A</v>
      </c>
      <c r="L45" t="e">
        <f>(C45*Calculations!$B$7/H45/Calculations!$B$6)</f>
        <v>#N/A</v>
      </c>
      <c r="M45" t="e">
        <f>(C45*Calculations!$B$7/H45/Calculations!$B$6) + Calculations!$B$3</f>
        <v>#N/A</v>
      </c>
      <c r="N45" t="e">
        <f>_xlfn.XLOOKUP(B45, Batteries!A:A, Batteries!E:E)/1000*60/K45</f>
        <v>#N/A</v>
      </c>
      <c r="O45" t="e">
        <f>_xlfn.XLOOKUP(A45, Motors!A:A, Motors!F:F)*4+_xlfn.XLOOKUP('Results (DO NOT EDIT)'!B45, Batteries!A:A, Batteries!D:D)</f>
        <v>#N/A</v>
      </c>
    </row>
    <row r="46" spans="1:15" ht="15" customHeight="1">
      <c r="A46">
        <f>MOD(ROW()-2, Calculations!$B$8) + 1</f>
        <v>1</v>
      </c>
      <c r="B46">
        <f>INT((ROW()-2)/Calculations!$B$8) + 1</f>
        <v>23</v>
      </c>
      <c r="C46" t="e">
        <f>Calculations!$B$2+_xlfn.XLOOKUP(A46, Motors!A:A, Motors!D:D)*Calculations!$B$5+_xlfn.XLOOKUP(B46, Batteries!A:A, Batteries!C:C)</f>
        <v>#N/A</v>
      </c>
      <c r="D46" t="e">
        <f>C46*Calculations!$B$4/Calculations!$B$5</f>
        <v>#N/A</v>
      </c>
      <c r="E46" t="e">
        <f t="shared" si="0"/>
        <v>#N/A</v>
      </c>
      <c r="F46" s="2">
        <f>_xlfn.MAXIFS(Motors!$E$2:$E$75, Motors!$A$2:$A$75, A46)</f>
        <v>156.57</v>
      </c>
      <c r="G46" t="e" cm="1">
        <f t="array" ref="G46">INDEX(_xlfn._xlws.FILTER(Motors!$J$2:$J$75, Motors!$A$2:$A$75='Results (DO NOT EDIT)'!$A46), MATCH(TRUE, INDEX(ABS(_xlfn._xlws.FILTER(Motors!$G$2:$G$75, Motors!$A$2:$A$75='Results (DO NOT EDIT)'!$A46) - 'Results (DO NOT EDIT)'!$D46) = MIN(INDEX(ABS(_xlfn._xlws.FILTER(Motors!$G$2:$G$75, Motors!$A$2:$A$75='Results (DO NOT EDIT)'!$A46) - 'Results (DO NOT EDIT)'!$D46), 0)), 0), 0))</f>
        <v>#N/A</v>
      </c>
      <c r="H46" s="2" t="e" cm="1">
        <f t="array" ref="H46">INDEX(
  Motors!$I$2:$I$75,
  MATCH(1, (Motors!$A$2:$A$75='Results (DO NOT EDIT)'!A46)*(Motors!$J$2:$J$75='Results (DO NOT EDIT)'!G46), 0)
)</f>
        <v>#N/A</v>
      </c>
      <c r="I46" s="2" cm="1">
        <f t="array" ref="I46">_xlfn.XLOOKUP(A46, Batteries!A:A, Batteries!E:E*Batteries!F:F)/1000</f>
        <v>72</v>
      </c>
      <c r="J46" s="2" t="e" cm="1">
        <f t="array" ref="J46">_xlfn.XLOOKUP(B46, Batteries!A:A, Batteries!E:E*Batteries!G:G)/1000</f>
        <v>#N/A</v>
      </c>
      <c r="K46" t="e">
        <f>C46/H46/Calculations!$B$6 + Calculations!$B$3</f>
        <v>#N/A</v>
      </c>
      <c r="L46" t="e">
        <f>(C46*Calculations!$B$7/H46/Calculations!$B$6)</f>
        <v>#N/A</v>
      </c>
      <c r="M46" t="e">
        <f>(C46*Calculations!$B$7/H46/Calculations!$B$6) + Calculations!$B$3</f>
        <v>#N/A</v>
      </c>
      <c r="N46" t="e">
        <f>_xlfn.XLOOKUP(B46, Batteries!A:A, Batteries!E:E)/1000*60/K46</f>
        <v>#N/A</v>
      </c>
      <c r="O46" t="e">
        <f>_xlfn.XLOOKUP(A46, Motors!A:A, Motors!F:F)*4+_xlfn.XLOOKUP('Results (DO NOT EDIT)'!B46, Batteries!A:A, Batteries!D:D)</f>
        <v>#N/A</v>
      </c>
    </row>
    <row r="47" spans="1:15" ht="15" customHeight="1">
      <c r="A47">
        <f>MOD(ROW()-2, Calculations!$B$8) + 1</f>
        <v>2</v>
      </c>
      <c r="B47">
        <f>INT((ROW()-2)/Calculations!$B$8) + 1</f>
        <v>23</v>
      </c>
      <c r="C47" t="e">
        <f>Calculations!$B$2+_xlfn.XLOOKUP(A47, Motors!A:A, Motors!D:D)*Calculations!$B$5+_xlfn.XLOOKUP(B47, Batteries!A:A, Batteries!C:C)</f>
        <v>#N/A</v>
      </c>
      <c r="D47" t="e">
        <f>C47*Calculations!$B$4/Calculations!$B$5</f>
        <v>#N/A</v>
      </c>
      <c r="E47" t="e">
        <f t="shared" si="0"/>
        <v>#N/A</v>
      </c>
      <c r="F47" s="2">
        <f>_xlfn.MAXIFS(Motors!$E$2:$E$75, Motors!$A$2:$A$75, A47)</f>
        <v>115</v>
      </c>
      <c r="G47" t="e" cm="1">
        <f t="array" ref="G47">INDEX(_xlfn._xlws.FILTER(Motors!$J$2:$J$75, Motors!$A$2:$A$75='Results (DO NOT EDIT)'!$A47), MATCH(TRUE, INDEX(ABS(_xlfn._xlws.FILTER(Motors!$G$2:$G$75, Motors!$A$2:$A$75='Results (DO NOT EDIT)'!$A47) - 'Results (DO NOT EDIT)'!$D47) = MIN(INDEX(ABS(_xlfn._xlws.FILTER(Motors!$G$2:$G$75, Motors!$A$2:$A$75='Results (DO NOT EDIT)'!$A47) - 'Results (DO NOT EDIT)'!$D47), 0)), 0), 0))</f>
        <v>#N/A</v>
      </c>
      <c r="H47" s="2" t="e" cm="1">
        <f t="array" ref="H47">INDEX(
  Motors!$I$2:$I$75,
  MATCH(1, (Motors!$A$2:$A$75='Results (DO NOT EDIT)'!A47)*(Motors!$J$2:$J$75='Results (DO NOT EDIT)'!G47), 0)
)</f>
        <v>#N/A</v>
      </c>
      <c r="I47" s="2" cm="1">
        <f t="array" ref="I47">_xlfn.XLOOKUP(A47, Batteries!A:A, Batteries!E:E*Batteries!F:F)/1000</f>
        <v>52.25</v>
      </c>
      <c r="J47" s="2" t="e" cm="1">
        <f t="array" ref="J47">_xlfn.XLOOKUP(B47, Batteries!A:A, Batteries!E:E*Batteries!G:G)/1000</f>
        <v>#N/A</v>
      </c>
      <c r="K47" t="e">
        <f>C47/H47/Calculations!$B$6 + Calculations!$B$3</f>
        <v>#N/A</v>
      </c>
      <c r="L47" t="e">
        <f>(C47*Calculations!$B$7/H47/Calculations!$B$6)</f>
        <v>#N/A</v>
      </c>
      <c r="M47" t="e">
        <f>(C47*Calculations!$B$7/H47/Calculations!$B$6) + Calculations!$B$3</f>
        <v>#N/A</v>
      </c>
      <c r="N47" t="e">
        <f>_xlfn.XLOOKUP(B47, Batteries!A:A, Batteries!E:E)/1000*60/K47</f>
        <v>#N/A</v>
      </c>
      <c r="O47" t="e">
        <f>_xlfn.XLOOKUP(A47, Motors!A:A, Motors!F:F)*4+_xlfn.XLOOKUP('Results (DO NOT EDIT)'!B47, Batteries!A:A, Batteries!D:D)</f>
        <v>#N/A</v>
      </c>
    </row>
    <row r="48" spans="1:15" ht="15" customHeight="1">
      <c r="A48">
        <f>MOD(ROW()-2, Calculations!$B$8) + 1</f>
        <v>1</v>
      </c>
      <c r="B48">
        <f>INT((ROW()-2)/Calculations!$B$8) + 1</f>
        <v>24</v>
      </c>
      <c r="C48" t="e">
        <f>Calculations!$B$2+_xlfn.XLOOKUP(A48, Motors!A:A, Motors!D:D)*Calculations!$B$5+_xlfn.XLOOKUP(B48, Batteries!A:A, Batteries!C:C)</f>
        <v>#N/A</v>
      </c>
      <c r="D48" t="e">
        <f>C48*Calculations!$B$4/Calculations!$B$5</f>
        <v>#N/A</v>
      </c>
      <c r="E48" t="e">
        <f t="shared" si="0"/>
        <v>#N/A</v>
      </c>
      <c r="F48" s="2">
        <f>_xlfn.MAXIFS(Motors!$E$2:$E$75, Motors!$A$2:$A$75, A48)</f>
        <v>156.57</v>
      </c>
      <c r="G48" t="e" cm="1">
        <f t="array" ref="G48">INDEX(_xlfn._xlws.FILTER(Motors!$J$2:$J$75, Motors!$A$2:$A$75='Results (DO NOT EDIT)'!$A48), MATCH(TRUE, INDEX(ABS(_xlfn._xlws.FILTER(Motors!$G$2:$G$75, Motors!$A$2:$A$75='Results (DO NOT EDIT)'!$A48) - 'Results (DO NOT EDIT)'!$D48) = MIN(INDEX(ABS(_xlfn._xlws.FILTER(Motors!$G$2:$G$75, Motors!$A$2:$A$75='Results (DO NOT EDIT)'!$A48) - 'Results (DO NOT EDIT)'!$D48), 0)), 0), 0))</f>
        <v>#N/A</v>
      </c>
      <c r="H48" s="2" t="e" cm="1">
        <f t="array" ref="H48">INDEX(
  Motors!$I$2:$I$75,
  MATCH(1, (Motors!$A$2:$A$75='Results (DO NOT EDIT)'!A48)*(Motors!$J$2:$J$75='Results (DO NOT EDIT)'!G48), 0)
)</f>
        <v>#N/A</v>
      </c>
      <c r="I48" s="2" cm="1">
        <f t="array" ref="I48">_xlfn.XLOOKUP(A48, Batteries!A:A, Batteries!E:E*Batteries!F:F)/1000</f>
        <v>72</v>
      </c>
      <c r="J48" s="2" t="e" cm="1">
        <f t="array" ref="J48">_xlfn.XLOOKUP(B48, Batteries!A:A, Batteries!E:E*Batteries!G:G)/1000</f>
        <v>#N/A</v>
      </c>
      <c r="K48" t="e">
        <f>C48/H48/Calculations!$B$6 + Calculations!$B$3</f>
        <v>#N/A</v>
      </c>
      <c r="L48" t="e">
        <f>(C48*Calculations!$B$7/H48/Calculations!$B$6)</f>
        <v>#N/A</v>
      </c>
      <c r="M48" t="e">
        <f>(C48*Calculations!$B$7/H48/Calculations!$B$6) + Calculations!$B$3</f>
        <v>#N/A</v>
      </c>
      <c r="N48" t="e">
        <f>_xlfn.XLOOKUP(B48, Batteries!A:A, Batteries!E:E)/1000*60/K48</f>
        <v>#N/A</v>
      </c>
      <c r="O48" t="e">
        <f>_xlfn.XLOOKUP(A48, Motors!A:A, Motors!F:F)*4+_xlfn.XLOOKUP('Results (DO NOT EDIT)'!B48, Batteries!A:A, Batteries!D:D)</f>
        <v>#N/A</v>
      </c>
    </row>
    <row r="49" spans="1:15" ht="15" customHeight="1">
      <c r="A49">
        <f>MOD(ROW()-2, Calculations!$B$8) + 1</f>
        <v>2</v>
      </c>
      <c r="B49">
        <f>INT((ROW()-2)/Calculations!$B$8) + 1</f>
        <v>24</v>
      </c>
      <c r="C49" t="e">
        <f>Calculations!$B$2+_xlfn.XLOOKUP(A49, Motors!A:A, Motors!D:D)*Calculations!$B$5+_xlfn.XLOOKUP(B49, Batteries!A:A, Batteries!C:C)</f>
        <v>#N/A</v>
      </c>
      <c r="D49" t="e">
        <f>C49*Calculations!$B$4/Calculations!$B$5</f>
        <v>#N/A</v>
      </c>
      <c r="E49" t="e">
        <f t="shared" si="0"/>
        <v>#N/A</v>
      </c>
      <c r="F49" s="2">
        <f>_xlfn.MAXIFS(Motors!$E$2:$E$75, Motors!$A$2:$A$75, A49)</f>
        <v>115</v>
      </c>
      <c r="G49" t="e" cm="1">
        <f t="array" ref="G49">INDEX(_xlfn._xlws.FILTER(Motors!$J$2:$J$75, Motors!$A$2:$A$75='Results (DO NOT EDIT)'!$A49), MATCH(TRUE, INDEX(ABS(_xlfn._xlws.FILTER(Motors!$G$2:$G$75, Motors!$A$2:$A$75='Results (DO NOT EDIT)'!$A49) - 'Results (DO NOT EDIT)'!$D49) = MIN(INDEX(ABS(_xlfn._xlws.FILTER(Motors!$G$2:$G$75, Motors!$A$2:$A$75='Results (DO NOT EDIT)'!$A49) - 'Results (DO NOT EDIT)'!$D49), 0)), 0), 0))</f>
        <v>#N/A</v>
      </c>
      <c r="H49" s="2" t="e" cm="1">
        <f t="array" ref="H49">INDEX(
  Motors!$I$2:$I$75,
  MATCH(1, (Motors!$A$2:$A$75='Results (DO NOT EDIT)'!A49)*(Motors!$J$2:$J$75='Results (DO NOT EDIT)'!G49), 0)
)</f>
        <v>#N/A</v>
      </c>
      <c r="I49" s="2" cm="1">
        <f t="array" ref="I49">_xlfn.XLOOKUP(A49, Batteries!A:A, Batteries!E:E*Batteries!F:F)/1000</f>
        <v>52.25</v>
      </c>
      <c r="J49" s="2" t="e" cm="1">
        <f t="array" ref="J49">_xlfn.XLOOKUP(B49, Batteries!A:A, Batteries!E:E*Batteries!G:G)/1000</f>
        <v>#N/A</v>
      </c>
      <c r="K49" t="e">
        <f>C49/H49/Calculations!$B$6 + Calculations!$B$3</f>
        <v>#N/A</v>
      </c>
      <c r="L49" t="e">
        <f>(C49*Calculations!$B$7/H49/Calculations!$B$6)</f>
        <v>#N/A</v>
      </c>
      <c r="M49" t="e">
        <f>(C49*Calculations!$B$7/H49/Calculations!$B$6) + Calculations!$B$3</f>
        <v>#N/A</v>
      </c>
      <c r="N49" t="e">
        <f>_xlfn.XLOOKUP(B49, Batteries!A:A, Batteries!E:E)/1000*60/K49</f>
        <v>#N/A</v>
      </c>
      <c r="O49" t="e">
        <f>_xlfn.XLOOKUP(A49, Motors!A:A, Motors!F:F)*4+_xlfn.XLOOKUP('Results (DO NOT EDIT)'!B49, Batteries!A:A, Batteries!D:D)</f>
        <v>#N/A</v>
      </c>
    </row>
    <row r="50" spans="1:15" ht="15" customHeight="1">
      <c r="A50">
        <f>MOD(ROW()-2, Calculations!$B$8) + 1</f>
        <v>1</v>
      </c>
      <c r="B50">
        <f>INT((ROW()-2)/Calculations!$B$8) + 1</f>
        <v>25</v>
      </c>
      <c r="C50" t="e">
        <f>Calculations!$B$2+_xlfn.XLOOKUP(A50, Motors!A:A, Motors!D:D)*Calculations!$B$5+_xlfn.XLOOKUP(B50, Batteries!A:A, Batteries!C:C)</f>
        <v>#N/A</v>
      </c>
      <c r="D50" t="e">
        <f>C50*Calculations!$B$4/Calculations!$B$5</f>
        <v>#N/A</v>
      </c>
      <c r="E50" t="e">
        <f t="shared" si="0"/>
        <v>#N/A</v>
      </c>
      <c r="F50" s="2">
        <f>_xlfn.MAXIFS(Motors!$E$2:$E$75, Motors!$A$2:$A$75, A50)</f>
        <v>156.57</v>
      </c>
      <c r="G50" t="e" cm="1">
        <f t="array" ref="G50">INDEX(_xlfn._xlws.FILTER(Motors!$J$2:$J$75, Motors!$A$2:$A$75='Results (DO NOT EDIT)'!$A50), MATCH(TRUE, INDEX(ABS(_xlfn._xlws.FILTER(Motors!$G$2:$G$75, Motors!$A$2:$A$75='Results (DO NOT EDIT)'!$A50) - 'Results (DO NOT EDIT)'!$D50) = MIN(INDEX(ABS(_xlfn._xlws.FILTER(Motors!$G$2:$G$75, Motors!$A$2:$A$75='Results (DO NOT EDIT)'!$A50) - 'Results (DO NOT EDIT)'!$D50), 0)), 0), 0))</f>
        <v>#N/A</v>
      </c>
      <c r="H50" s="2" t="e" cm="1">
        <f t="array" ref="H50">INDEX(
  Motors!$I$2:$I$75,
  MATCH(1, (Motors!$A$2:$A$75='Results (DO NOT EDIT)'!A50)*(Motors!$J$2:$J$75='Results (DO NOT EDIT)'!G50), 0)
)</f>
        <v>#N/A</v>
      </c>
      <c r="I50" s="2" cm="1">
        <f t="array" ref="I50">_xlfn.XLOOKUP(A50, Batteries!A:A, Batteries!E:E*Batteries!F:F)/1000</f>
        <v>72</v>
      </c>
      <c r="J50" s="2" t="e" cm="1">
        <f t="array" ref="J50">_xlfn.XLOOKUP(B50, Batteries!A:A, Batteries!E:E*Batteries!G:G)/1000</f>
        <v>#N/A</v>
      </c>
      <c r="K50" t="e">
        <f>C50/H50/Calculations!$B$6 + Calculations!$B$3</f>
        <v>#N/A</v>
      </c>
      <c r="L50" t="e">
        <f>(C50*Calculations!$B$7/H50/Calculations!$B$6)</f>
        <v>#N/A</v>
      </c>
      <c r="M50" t="e">
        <f>(C50*Calculations!$B$7/H50/Calculations!$B$6) + Calculations!$B$3</f>
        <v>#N/A</v>
      </c>
      <c r="N50" t="e">
        <f>_xlfn.XLOOKUP(B50, Batteries!A:A, Batteries!E:E)/1000*60/K50</f>
        <v>#N/A</v>
      </c>
      <c r="O50" t="e">
        <f>_xlfn.XLOOKUP(A50, Motors!A:A, Motors!F:F)*4+_xlfn.XLOOKUP('Results (DO NOT EDIT)'!B50, Batteries!A:A, Batteries!D:D)</f>
        <v>#N/A</v>
      </c>
    </row>
    <row r="51" spans="1:15" ht="15" customHeight="1">
      <c r="A51">
        <f>MOD(ROW()-2, Calculations!$B$8) + 1</f>
        <v>2</v>
      </c>
      <c r="B51">
        <f>INT((ROW()-2)/Calculations!$B$8) + 1</f>
        <v>25</v>
      </c>
      <c r="C51" t="e">
        <f>Calculations!$B$2+_xlfn.XLOOKUP(A51, Motors!A:A, Motors!D:D)*Calculations!$B$5+_xlfn.XLOOKUP(B51, Batteries!A:A, Batteries!C:C)</f>
        <v>#N/A</v>
      </c>
      <c r="D51" t="e">
        <f>C51*Calculations!$B$4/Calculations!$B$5</f>
        <v>#N/A</v>
      </c>
      <c r="E51" t="e">
        <f t="shared" si="0"/>
        <v>#N/A</v>
      </c>
      <c r="F51" s="2">
        <f>_xlfn.MAXIFS(Motors!$E$2:$E$75, Motors!$A$2:$A$75, A51)</f>
        <v>115</v>
      </c>
      <c r="G51" t="e" cm="1">
        <f t="array" ref="G51">INDEX(_xlfn._xlws.FILTER(Motors!$J$2:$J$75, Motors!$A$2:$A$75='Results (DO NOT EDIT)'!$A51), MATCH(TRUE, INDEX(ABS(_xlfn._xlws.FILTER(Motors!$G$2:$G$75, Motors!$A$2:$A$75='Results (DO NOT EDIT)'!$A51) - 'Results (DO NOT EDIT)'!$D51) = MIN(INDEX(ABS(_xlfn._xlws.FILTER(Motors!$G$2:$G$75, Motors!$A$2:$A$75='Results (DO NOT EDIT)'!$A51) - 'Results (DO NOT EDIT)'!$D51), 0)), 0), 0))</f>
        <v>#N/A</v>
      </c>
      <c r="H51" s="2" t="e" cm="1">
        <f t="array" ref="H51">INDEX(
  Motors!$I$2:$I$75,
  MATCH(1, (Motors!$A$2:$A$75='Results (DO NOT EDIT)'!A51)*(Motors!$J$2:$J$75='Results (DO NOT EDIT)'!G51), 0)
)</f>
        <v>#N/A</v>
      </c>
      <c r="I51" s="2" cm="1">
        <f t="array" ref="I51">_xlfn.XLOOKUP(A51, Batteries!A:A, Batteries!E:E*Batteries!F:F)/1000</f>
        <v>52.25</v>
      </c>
      <c r="J51" s="2" t="e" cm="1">
        <f t="array" ref="J51">_xlfn.XLOOKUP(B51, Batteries!A:A, Batteries!E:E*Batteries!G:G)/1000</f>
        <v>#N/A</v>
      </c>
      <c r="K51" t="e">
        <f>C51/H51/Calculations!$B$6 + Calculations!$B$3</f>
        <v>#N/A</v>
      </c>
      <c r="L51" t="e">
        <f>(C51*Calculations!$B$7/H51/Calculations!$B$6)</f>
        <v>#N/A</v>
      </c>
      <c r="M51" t="e">
        <f>(C51*Calculations!$B$7/H51/Calculations!$B$6) + Calculations!$B$3</f>
        <v>#N/A</v>
      </c>
      <c r="N51" t="e">
        <f>_xlfn.XLOOKUP(B51, Batteries!A:A, Batteries!E:E)/1000*60/K51</f>
        <v>#N/A</v>
      </c>
      <c r="O51" t="e">
        <f>_xlfn.XLOOKUP(A51, Motors!A:A, Motors!F:F)*4+_xlfn.XLOOKUP('Results (DO NOT EDIT)'!B51, Batteries!A:A, Batteries!D:D)</f>
        <v>#N/A</v>
      </c>
    </row>
    <row r="52" spans="1:15" ht="15" customHeight="1">
      <c r="A52">
        <f>MOD(ROW()-2, Calculations!$B$8) + 1</f>
        <v>1</v>
      </c>
      <c r="B52">
        <f>INT((ROW()-2)/Calculations!$B$8) + 1</f>
        <v>26</v>
      </c>
      <c r="C52" t="e">
        <f>Calculations!$B$2+_xlfn.XLOOKUP(A52, Motors!A:A, Motors!D:D)*Calculations!$B$5+_xlfn.XLOOKUP(B52, Batteries!A:A, Batteries!C:C)</f>
        <v>#N/A</v>
      </c>
      <c r="D52" t="e">
        <f>C52*Calculations!$B$4/Calculations!$B$5</f>
        <v>#N/A</v>
      </c>
      <c r="E52" t="e">
        <f t="shared" si="0"/>
        <v>#N/A</v>
      </c>
      <c r="F52" s="2">
        <f>_xlfn.MAXIFS(Motors!$E$2:$E$75, Motors!$A$2:$A$75, A52)</f>
        <v>156.57</v>
      </c>
      <c r="G52" t="e" cm="1">
        <f t="array" ref="G52">INDEX(_xlfn._xlws.FILTER(Motors!$J$2:$J$75, Motors!$A$2:$A$75='Results (DO NOT EDIT)'!$A52), MATCH(TRUE, INDEX(ABS(_xlfn._xlws.FILTER(Motors!$G$2:$G$75, Motors!$A$2:$A$75='Results (DO NOT EDIT)'!$A52) - 'Results (DO NOT EDIT)'!$D52) = MIN(INDEX(ABS(_xlfn._xlws.FILTER(Motors!$G$2:$G$75, Motors!$A$2:$A$75='Results (DO NOT EDIT)'!$A52) - 'Results (DO NOT EDIT)'!$D52), 0)), 0), 0))</f>
        <v>#N/A</v>
      </c>
      <c r="H52" s="2" t="e" cm="1">
        <f t="array" ref="H52">INDEX(
  Motors!$I$2:$I$75,
  MATCH(1, (Motors!$A$2:$A$75='Results (DO NOT EDIT)'!A52)*(Motors!$J$2:$J$75='Results (DO NOT EDIT)'!G52), 0)
)</f>
        <v>#N/A</v>
      </c>
      <c r="I52" s="2" cm="1">
        <f t="array" ref="I52">_xlfn.XLOOKUP(A52, Batteries!A:A, Batteries!E:E*Batteries!F:F)/1000</f>
        <v>72</v>
      </c>
      <c r="J52" s="2" t="e" cm="1">
        <f t="array" ref="J52">_xlfn.XLOOKUP(B52, Batteries!A:A, Batteries!E:E*Batteries!G:G)/1000</f>
        <v>#N/A</v>
      </c>
      <c r="K52" t="e">
        <f>C52/H52/Calculations!$B$6 + Calculations!$B$3</f>
        <v>#N/A</v>
      </c>
      <c r="L52" t="e">
        <f>(C52*Calculations!$B$7/H52/Calculations!$B$6)</f>
        <v>#N/A</v>
      </c>
      <c r="M52" t="e">
        <f>(C52*Calculations!$B$7/H52/Calculations!$B$6) + Calculations!$B$3</f>
        <v>#N/A</v>
      </c>
      <c r="N52" t="e">
        <f>_xlfn.XLOOKUP(B52, Batteries!A:A, Batteries!E:E)/1000*60/K52</f>
        <v>#N/A</v>
      </c>
      <c r="O52" t="e">
        <f>_xlfn.XLOOKUP(A52, Motors!A:A, Motors!F:F)*4+_xlfn.XLOOKUP('Results (DO NOT EDIT)'!B52, Batteries!A:A, Batteries!D:D)</f>
        <v>#N/A</v>
      </c>
    </row>
    <row r="53" spans="1:15" ht="15" customHeight="1">
      <c r="A53">
        <f>MOD(ROW()-2, Calculations!$B$8) + 1</f>
        <v>2</v>
      </c>
      <c r="B53">
        <f>INT((ROW()-2)/Calculations!$B$8) + 1</f>
        <v>26</v>
      </c>
      <c r="C53" t="e">
        <f>Calculations!$B$2+_xlfn.XLOOKUP(A53, Motors!A:A, Motors!D:D)*Calculations!$B$5+_xlfn.XLOOKUP(B53, Batteries!A:A, Batteries!C:C)</f>
        <v>#N/A</v>
      </c>
      <c r="D53" t="e">
        <f>C53*Calculations!$B$4/Calculations!$B$5</f>
        <v>#N/A</v>
      </c>
      <c r="E53" t="e">
        <f t="shared" si="0"/>
        <v>#N/A</v>
      </c>
      <c r="F53" s="2">
        <f>_xlfn.MAXIFS(Motors!$E$2:$E$75, Motors!$A$2:$A$75, A53)</f>
        <v>115</v>
      </c>
      <c r="G53" t="e" cm="1">
        <f t="array" ref="G53">INDEX(_xlfn._xlws.FILTER(Motors!$J$2:$J$75, Motors!$A$2:$A$75='Results (DO NOT EDIT)'!$A53), MATCH(TRUE, INDEX(ABS(_xlfn._xlws.FILTER(Motors!$G$2:$G$75, Motors!$A$2:$A$75='Results (DO NOT EDIT)'!$A53) - 'Results (DO NOT EDIT)'!$D53) = MIN(INDEX(ABS(_xlfn._xlws.FILTER(Motors!$G$2:$G$75, Motors!$A$2:$A$75='Results (DO NOT EDIT)'!$A53) - 'Results (DO NOT EDIT)'!$D53), 0)), 0), 0))</f>
        <v>#N/A</v>
      </c>
      <c r="H53" s="2" t="e" cm="1">
        <f t="array" ref="H53">INDEX(
  Motors!$I$2:$I$75,
  MATCH(1, (Motors!$A$2:$A$75='Results (DO NOT EDIT)'!A53)*(Motors!$J$2:$J$75='Results (DO NOT EDIT)'!G53), 0)
)</f>
        <v>#N/A</v>
      </c>
      <c r="I53" s="2" cm="1">
        <f t="array" ref="I53">_xlfn.XLOOKUP(A53, Batteries!A:A, Batteries!E:E*Batteries!F:F)/1000</f>
        <v>52.25</v>
      </c>
      <c r="J53" s="2" t="e" cm="1">
        <f t="array" ref="J53">_xlfn.XLOOKUP(B53, Batteries!A:A, Batteries!E:E*Batteries!G:G)/1000</f>
        <v>#N/A</v>
      </c>
      <c r="K53" t="e">
        <f>C53/H53/Calculations!$B$6 + Calculations!$B$3</f>
        <v>#N/A</v>
      </c>
      <c r="L53" t="e">
        <f>(C53*Calculations!$B$7/H53/Calculations!$B$6)</f>
        <v>#N/A</v>
      </c>
      <c r="M53" t="e">
        <f>(C53*Calculations!$B$7/H53/Calculations!$B$6) + Calculations!$B$3</f>
        <v>#N/A</v>
      </c>
      <c r="N53" t="e">
        <f>_xlfn.XLOOKUP(B53, Batteries!A:A, Batteries!E:E)/1000*60/K53</f>
        <v>#N/A</v>
      </c>
      <c r="O53" t="e">
        <f>_xlfn.XLOOKUP(A53, Motors!A:A, Motors!F:F)*4+_xlfn.XLOOKUP('Results (DO NOT EDIT)'!B53, Batteries!A:A, Batteries!D:D)</f>
        <v>#N/A</v>
      </c>
    </row>
    <row r="54" spans="1:15" ht="15" customHeight="1">
      <c r="A54">
        <f>MOD(ROW()-2, Calculations!$B$8) + 1</f>
        <v>1</v>
      </c>
      <c r="B54">
        <f>INT((ROW()-2)/Calculations!$B$8) + 1</f>
        <v>27</v>
      </c>
      <c r="C54" t="e">
        <f>Calculations!$B$2+_xlfn.XLOOKUP(A54, Motors!A:A, Motors!D:D)*Calculations!$B$5+_xlfn.XLOOKUP(B54, Batteries!A:A, Batteries!C:C)</f>
        <v>#N/A</v>
      </c>
      <c r="D54" t="e">
        <f>C54*Calculations!$B$4/Calculations!$B$5</f>
        <v>#N/A</v>
      </c>
      <c r="E54" t="e">
        <f t="shared" si="0"/>
        <v>#N/A</v>
      </c>
      <c r="F54" s="2">
        <f>_xlfn.MAXIFS(Motors!$E$2:$E$75, Motors!$A$2:$A$75, A54)</f>
        <v>156.57</v>
      </c>
      <c r="G54" t="e" cm="1">
        <f t="array" ref="G54">INDEX(_xlfn._xlws.FILTER(Motors!$J$2:$J$75, Motors!$A$2:$A$75='Results (DO NOT EDIT)'!$A54), MATCH(TRUE, INDEX(ABS(_xlfn._xlws.FILTER(Motors!$G$2:$G$75, Motors!$A$2:$A$75='Results (DO NOT EDIT)'!$A54) - 'Results (DO NOT EDIT)'!$D54) = MIN(INDEX(ABS(_xlfn._xlws.FILTER(Motors!$G$2:$G$75, Motors!$A$2:$A$75='Results (DO NOT EDIT)'!$A54) - 'Results (DO NOT EDIT)'!$D54), 0)), 0), 0))</f>
        <v>#N/A</v>
      </c>
      <c r="H54" s="2" t="e" cm="1">
        <f t="array" ref="H54">INDEX(
  Motors!$I$2:$I$75,
  MATCH(1, (Motors!$A$2:$A$75='Results (DO NOT EDIT)'!A54)*(Motors!$J$2:$J$75='Results (DO NOT EDIT)'!G54), 0)
)</f>
        <v>#N/A</v>
      </c>
      <c r="I54" s="2" cm="1">
        <f t="array" ref="I54">_xlfn.XLOOKUP(A54, Batteries!A:A, Batteries!E:E*Batteries!F:F)/1000</f>
        <v>72</v>
      </c>
      <c r="J54" s="2" t="e" cm="1">
        <f t="array" ref="J54">_xlfn.XLOOKUP(B54, Batteries!A:A, Batteries!E:E*Batteries!G:G)/1000</f>
        <v>#N/A</v>
      </c>
      <c r="K54" t="e">
        <f>C54/H54/Calculations!$B$6 + Calculations!$B$3</f>
        <v>#N/A</v>
      </c>
      <c r="L54" t="e">
        <f>(C54*Calculations!$B$7/H54/Calculations!$B$6)</f>
        <v>#N/A</v>
      </c>
      <c r="M54" t="e">
        <f>(C54*Calculations!$B$7/H54/Calculations!$B$6) + Calculations!$B$3</f>
        <v>#N/A</v>
      </c>
      <c r="N54" t="e">
        <f>_xlfn.XLOOKUP(B54, Batteries!A:A, Batteries!E:E)/1000*60/K54</f>
        <v>#N/A</v>
      </c>
      <c r="O54" t="e">
        <f>_xlfn.XLOOKUP(A54, Motors!A:A, Motors!F:F)*4+_xlfn.XLOOKUP('Results (DO NOT EDIT)'!B54, Batteries!A:A, Batteries!D:D)</f>
        <v>#N/A</v>
      </c>
    </row>
    <row r="55" spans="1:15" ht="15" customHeight="1">
      <c r="A55">
        <f>MOD(ROW()-2, Calculations!$B$8) + 1</f>
        <v>2</v>
      </c>
      <c r="B55">
        <f>INT((ROW()-2)/Calculations!$B$8) + 1</f>
        <v>27</v>
      </c>
      <c r="C55" t="e">
        <f>Calculations!$B$2+_xlfn.XLOOKUP(A55, Motors!A:A, Motors!D:D)*Calculations!$B$5+_xlfn.XLOOKUP(B55, Batteries!A:A, Batteries!C:C)</f>
        <v>#N/A</v>
      </c>
      <c r="D55" t="e">
        <f>C55*Calculations!$B$4/Calculations!$B$5</f>
        <v>#N/A</v>
      </c>
      <c r="E55" t="e">
        <f t="shared" si="0"/>
        <v>#N/A</v>
      </c>
      <c r="F55" s="2">
        <f>_xlfn.MAXIFS(Motors!$E$2:$E$75, Motors!$A$2:$A$75, A55)</f>
        <v>115</v>
      </c>
      <c r="G55" t="e" cm="1">
        <f t="array" ref="G55">INDEX(_xlfn._xlws.FILTER(Motors!$J$2:$J$75, Motors!$A$2:$A$75='Results (DO NOT EDIT)'!$A55), MATCH(TRUE, INDEX(ABS(_xlfn._xlws.FILTER(Motors!$G$2:$G$75, Motors!$A$2:$A$75='Results (DO NOT EDIT)'!$A55) - 'Results (DO NOT EDIT)'!$D55) = MIN(INDEX(ABS(_xlfn._xlws.FILTER(Motors!$G$2:$G$75, Motors!$A$2:$A$75='Results (DO NOT EDIT)'!$A55) - 'Results (DO NOT EDIT)'!$D55), 0)), 0), 0))</f>
        <v>#N/A</v>
      </c>
      <c r="H55" s="2" t="e" cm="1">
        <f t="array" ref="H55">INDEX(
  Motors!$I$2:$I$75,
  MATCH(1, (Motors!$A$2:$A$75='Results (DO NOT EDIT)'!A55)*(Motors!$J$2:$J$75='Results (DO NOT EDIT)'!G55), 0)
)</f>
        <v>#N/A</v>
      </c>
      <c r="I55" s="2" cm="1">
        <f t="array" ref="I55">_xlfn.XLOOKUP(A55, Batteries!A:A, Batteries!E:E*Batteries!F:F)/1000</f>
        <v>52.25</v>
      </c>
      <c r="J55" s="2" t="e" cm="1">
        <f t="array" ref="J55">_xlfn.XLOOKUP(B55, Batteries!A:A, Batteries!E:E*Batteries!G:G)/1000</f>
        <v>#N/A</v>
      </c>
      <c r="K55" t="e">
        <f>C55/H55/Calculations!$B$6 + Calculations!$B$3</f>
        <v>#N/A</v>
      </c>
      <c r="L55" t="e">
        <f>(C55*Calculations!$B$7/H55/Calculations!$B$6)</f>
        <v>#N/A</v>
      </c>
      <c r="M55" t="e">
        <f>(C55*Calculations!$B$7/H55/Calculations!$B$6) + Calculations!$B$3</f>
        <v>#N/A</v>
      </c>
      <c r="N55" t="e">
        <f>_xlfn.XLOOKUP(B55, Batteries!A:A, Batteries!E:E)/1000*60/K55</f>
        <v>#N/A</v>
      </c>
      <c r="O55" t="e">
        <f>_xlfn.XLOOKUP(A55, Motors!A:A, Motors!F:F)*4+_xlfn.XLOOKUP('Results (DO NOT EDIT)'!B55, Batteries!A:A, Batteries!D:D)</f>
        <v>#N/A</v>
      </c>
    </row>
    <row r="56" spans="1:15" ht="15" customHeight="1">
      <c r="A56">
        <f>MOD(ROW()-2, Calculations!$B$8) + 1</f>
        <v>1</v>
      </c>
      <c r="B56">
        <f>INT((ROW()-2)/Calculations!$B$8) + 1</f>
        <v>28</v>
      </c>
      <c r="C56" t="e">
        <f>Calculations!$B$2+_xlfn.XLOOKUP(A56, Motors!A:A, Motors!D:D)*Calculations!$B$5+_xlfn.XLOOKUP(B56, Batteries!A:A, Batteries!C:C)</f>
        <v>#N/A</v>
      </c>
      <c r="D56" t="e">
        <f>C56*Calculations!$B$4/Calculations!$B$5</f>
        <v>#N/A</v>
      </c>
      <c r="E56" t="e">
        <f t="shared" si="0"/>
        <v>#N/A</v>
      </c>
      <c r="F56" s="2">
        <f>_xlfn.MAXIFS(Motors!$E$2:$E$75, Motors!$A$2:$A$75, A56)</f>
        <v>156.57</v>
      </c>
      <c r="G56" t="e" cm="1">
        <f t="array" ref="G56">INDEX(_xlfn._xlws.FILTER(Motors!$J$2:$J$75, Motors!$A$2:$A$75='Results (DO NOT EDIT)'!$A56), MATCH(TRUE, INDEX(ABS(_xlfn._xlws.FILTER(Motors!$G$2:$G$75, Motors!$A$2:$A$75='Results (DO NOT EDIT)'!$A56) - 'Results (DO NOT EDIT)'!$D56) = MIN(INDEX(ABS(_xlfn._xlws.FILTER(Motors!$G$2:$G$75, Motors!$A$2:$A$75='Results (DO NOT EDIT)'!$A56) - 'Results (DO NOT EDIT)'!$D56), 0)), 0), 0))</f>
        <v>#N/A</v>
      </c>
      <c r="H56" s="2" t="e" cm="1">
        <f t="array" ref="H56">INDEX(
  Motors!$I$2:$I$75,
  MATCH(1, (Motors!$A$2:$A$75='Results (DO NOT EDIT)'!A56)*(Motors!$J$2:$J$75='Results (DO NOT EDIT)'!G56), 0)
)</f>
        <v>#N/A</v>
      </c>
      <c r="I56" s="2" cm="1">
        <f t="array" ref="I56">_xlfn.XLOOKUP(A56, Batteries!A:A, Batteries!E:E*Batteries!F:F)/1000</f>
        <v>72</v>
      </c>
      <c r="J56" s="2" t="e" cm="1">
        <f t="array" ref="J56">_xlfn.XLOOKUP(B56, Batteries!A:A, Batteries!E:E*Batteries!G:G)/1000</f>
        <v>#N/A</v>
      </c>
      <c r="K56" t="e">
        <f>C56/H56/Calculations!$B$6 + Calculations!$B$3</f>
        <v>#N/A</v>
      </c>
      <c r="L56" t="e">
        <f>(C56*Calculations!$B$7/H56/Calculations!$B$6)</f>
        <v>#N/A</v>
      </c>
      <c r="M56" t="e">
        <f>(C56*Calculations!$B$7/H56/Calculations!$B$6) + Calculations!$B$3</f>
        <v>#N/A</v>
      </c>
      <c r="N56" t="e">
        <f>_xlfn.XLOOKUP(B56, Batteries!A:A, Batteries!E:E)/1000*60/K56</f>
        <v>#N/A</v>
      </c>
      <c r="O56" t="e">
        <f>_xlfn.XLOOKUP(A56, Motors!A:A, Motors!F:F)*4+_xlfn.XLOOKUP('Results (DO NOT EDIT)'!B56, Batteries!A:A, Batteries!D:D)</f>
        <v>#N/A</v>
      </c>
    </row>
    <row r="57" spans="1:15" ht="15" customHeight="1">
      <c r="A57">
        <f>MOD(ROW()-2, Calculations!$B$8) + 1</f>
        <v>2</v>
      </c>
      <c r="B57">
        <f>INT((ROW()-2)/Calculations!$B$8) + 1</f>
        <v>28</v>
      </c>
      <c r="C57" t="e">
        <f>Calculations!$B$2+_xlfn.XLOOKUP(A57, Motors!A:A, Motors!D:D)*Calculations!$B$5+_xlfn.XLOOKUP(B57, Batteries!A:A, Batteries!C:C)</f>
        <v>#N/A</v>
      </c>
      <c r="D57" t="e">
        <f>C57*Calculations!$B$4/Calculations!$B$5</f>
        <v>#N/A</v>
      </c>
      <c r="E57" t="e">
        <f t="shared" si="0"/>
        <v>#N/A</v>
      </c>
      <c r="F57" s="2">
        <f>_xlfn.MAXIFS(Motors!$E$2:$E$75, Motors!$A$2:$A$75, A57)</f>
        <v>115</v>
      </c>
      <c r="G57" t="e" cm="1">
        <f t="array" ref="G57">INDEX(_xlfn._xlws.FILTER(Motors!$J$2:$J$75, Motors!$A$2:$A$75='Results (DO NOT EDIT)'!$A57), MATCH(TRUE, INDEX(ABS(_xlfn._xlws.FILTER(Motors!$G$2:$G$75, Motors!$A$2:$A$75='Results (DO NOT EDIT)'!$A57) - 'Results (DO NOT EDIT)'!$D57) = MIN(INDEX(ABS(_xlfn._xlws.FILTER(Motors!$G$2:$G$75, Motors!$A$2:$A$75='Results (DO NOT EDIT)'!$A57) - 'Results (DO NOT EDIT)'!$D57), 0)), 0), 0))</f>
        <v>#N/A</v>
      </c>
      <c r="H57" s="2" t="e" cm="1">
        <f t="array" ref="H57">INDEX(
  Motors!$I$2:$I$75,
  MATCH(1, (Motors!$A$2:$A$75='Results (DO NOT EDIT)'!A57)*(Motors!$J$2:$J$75='Results (DO NOT EDIT)'!G57), 0)
)</f>
        <v>#N/A</v>
      </c>
      <c r="I57" s="2" cm="1">
        <f t="array" ref="I57">_xlfn.XLOOKUP(A57, Batteries!A:A, Batteries!E:E*Batteries!F:F)/1000</f>
        <v>52.25</v>
      </c>
      <c r="J57" s="2" t="e" cm="1">
        <f t="array" ref="J57">_xlfn.XLOOKUP(B57, Batteries!A:A, Batteries!E:E*Batteries!G:G)/1000</f>
        <v>#N/A</v>
      </c>
      <c r="K57" t="e">
        <f>C57/H57/Calculations!$B$6 + Calculations!$B$3</f>
        <v>#N/A</v>
      </c>
      <c r="L57" t="e">
        <f>(C57*Calculations!$B$7/H57/Calculations!$B$6)</f>
        <v>#N/A</v>
      </c>
      <c r="M57" t="e">
        <f>(C57*Calculations!$B$7/H57/Calculations!$B$6) + Calculations!$B$3</f>
        <v>#N/A</v>
      </c>
      <c r="N57" t="e">
        <f>_xlfn.XLOOKUP(B57, Batteries!A:A, Batteries!E:E)/1000*60/K57</f>
        <v>#N/A</v>
      </c>
      <c r="O57" t="e">
        <f>_xlfn.XLOOKUP(A57, Motors!A:A, Motors!F:F)*4+_xlfn.XLOOKUP('Results (DO NOT EDIT)'!B57, Batteries!A:A, Batteries!D:D)</f>
        <v>#N/A</v>
      </c>
    </row>
    <row r="58" spans="1:15" ht="15" customHeight="1">
      <c r="A58">
        <f>MOD(ROW()-2, Calculations!$B$8) + 1</f>
        <v>1</v>
      </c>
      <c r="B58">
        <f>INT((ROW()-2)/Calculations!$B$8) + 1</f>
        <v>29</v>
      </c>
      <c r="C58" t="e">
        <f>Calculations!$B$2+_xlfn.XLOOKUP(A58, Motors!A:A, Motors!D:D)*Calculations!$B$5+_xlfn.XLOOKUP(B58, Batteries!A:A, Batteries!C:C)</f>
        <v>#N/A</v>
      </c>
      <c r="D58" t="e">
        <f>C58*Calculations!$B$4/Calculations!$B$5</f>
        <v>#N/A</v>
      </c>
      <c r="E58" t="e">
        <f t="shared" si="0"/>
        <v>#N/A</v>
      </c>
      <c r="F58" s="2">
        <f>_xlfn.MAXIFS(Motors!$E$2:$E$75, Motors!$A$2:$A$75, A58)</f>
        <v>156.57</v>
      </c>
      <c r="G58" t="e" cm="1">
        <f t="array" ref="G58">INDEX(_xlfn._xlws.FILTER(Motors!$J$2:$J$75, Motors!$A$2:$A$75='Results (DO NOT EDIT)'!$A58), MATCH(TRUE, INDEX(ABS(_xlfn._xlws.FILTER(Motors!$G$2:$G$75, Motors!$A$2:$A$75='Results (DO NOT EDIT)'!$A58) - 'Results (DO NOT EDIT)'!$D58) = MIN(INDEX(ABS(_xlfn._xlws.FILTER(Motors!$G$2:$G$75, Motors!$A$2:$A$75='Results (DO NOT EDIT)'!$A58) - 'Results (DO NOT EDIT)'!$D58), 0)), 0), 0))</f>
        <v>#N/A</v>
      </c>
      <c r="H58" s="2" t="e" cm="1">
        <f t="array" ref="H58">INDEX(
  Motors!$I$2:$I$75,
  MATCH(1, (Motors!$A$2:$A$75='Results (DO NOT EDIT)'!A58)*(Motors!$J$2:$J$75='Results (DO NOT EDIT)'!G58), 0)
)</f>
        <v>#N/A</v>
      </c>
      <c r="I58" s="2" cm="1">
        <f t="array" ref="I58">_xlfn.XLOOKUP(A58, Batteries!A:A, Batteries!E:E*Batteries!F:F)/1000</f>
        <v>72</v>
      </c>
      <c r="J58" s="2" t="e" cm="1">
        <f t="array" ref="J58">_xlfn.XLOOKUP(B58, Batteries!A:A, Batteries!E:E*Batteries!G:G)/1000</f>
        <v>#N/A</v>
      </c>
      <c r="K58" t="e">
        <f>C58/H58/Calculations!$B$6 + Calculations!$B$3</f>
        <v>#N/A</v>
      </c>
      <c r="L58" t="e">
        <f>(C58*Calculations!$B$7/H58/Calculations!$B$6)</f>
        <v>#N/A</v>
      </c>
      <c r="M58" t="e">
        <f>(C58*Calculations!$B$7/H58/Calculations!$B$6) + Calculations!$B$3</f>
        <v>#N/A</v>
      </c>
      <c r="N58" t="e">
        <f>_xlfn.XLOOKUP(B58, Batteries!A:A, Batteries!E:E)/1000*60/K58</f>
        <v>#N/A</v>
      </c>
      <c r="O58" t="e">
        <f>_xlfn.XLOOKUP(A58, Motors!A:A, Motors!F:F)*4+_xlfn.XLOOKUP('Results (DO NOT EDIT)'!B58, Batteries!A:A, Batteries!D:D)</f>
        <v>#N/A</v>
      </c>
    </row>
    <row r="59" spans="1:15" ht="15" customHeight="1">
      <c r="A59">
        <f>MOD(ROW()-2, Calculations!$B$8) + 1</f>
        <v>2</v>
      </c>
      <c r="B59">
        <f>INT((ROW()-2)/Calculations!$B$8) + 1</f>
        <v>29</v>
      </c>
      <c r="C59" t="e">
        <f>Calculations!$B$2+_xlfn.XLOOKUP(A59, Motors!A:A, Motors!D:D)*Calculations!$B$5+_xlfn.XLOOKUP(B59, Batteries!A:A, Batteries!C:C)</f>
        <v>#N/A</v>
      </c>
      <c r="D59" t="e">
        <f>C59*Calculations!$B$4/Calculations!$B$5</f>
        <v>#N/A</v>
      </c>
      <c r="E59" t="e">
        <f t="shared" si="0"/>
        <v>#N/A</v>
      </c>
      <c r="F59" s="2">
        <f>_xlfn.MAXIFS(Motors!$E$2:$E$75, Motors!$A$2:$A$75, A59)</f>
        <v>115</v>
      </c>
      <c r="G59" t="e" cm="1">
        <f t="array" ref="G59">INDEX(_xlfn._xlws.FILTER(Motors!$J$2:$J$75, Motors!$A$2:$A$75='Results (DO NOT EDIT)'!$A59), MATCH(TRUE, INDEX(ABS(_xlfn._xlws.FILTER(Motors!$G$2:$G$75, Motors!$A$2:$A$75='Results (DO NOT EDIT)'!$A59) - 'Results (DO NOT EDIT)'!$D59) = MIN(INDEX(ABS(_xlfn._xlws.FILTER(Motors!$G$2:$G$75, Motors!$A$2:$A$75='Results (DO NOT EDIT)'!$A59) - 'Results (DO NOT EDIT)'!$D59), 0)), 0), 0))</f>
        <v>#N/A</v>
      </c>
      <c r="H59" s="2" t="e" cm="1">
        <f t="array" ref="H59">INDEX(
  Motors!$I$2:$I$75,
  MATCH(1, (Motors!$A$2:$A$75='Results (DO NOT EDIT)'!A59)*(Motors!$J$2:$J$75='Results (DO NOT EDIT)'!G59), 0)
)</f>
        <v>#N/A</v>
      </c>
      <c r="I59" s="2" cm="1">
        <f t="array" ref="I59">_xlfn.XLOOKUP(A59, Batteries!A:A, Batteries!E:E*Batteries!F:F)/1000</f>
        <v>52.25</v>
      </c>
      <c r="J59" s="2" t="e" cm="1">
        <f t="array" ref="J59">_xlfn.XLOOKUP(B59, Batteries!A:A, Batteries!E:E*Batteries!G:G)/1000</f>
        <v>#N/A</v>
      </c>
      <c r="K59" t="e">
        <f>C59/H59/Calculations!$B$6 + Calculations!$B$3</f>
        <v>#N/A</v>
      </c>
      <c r="L59" t="e">
        <f>(C59*Calculations!$B$7/H59/Calculations!$B$6)</f>
        <v>#N/A</v>
      </c>
      <c r="M59" t="e">
        <f>(C59*Calculations!$B$7/H59/Calculations!$B$6) + Calculations!$B$3</f>
        <v>#N/A</v>
      </c>
      <c r="N59" t="e">
        <f>_xlfn.XLOOKUP(B59, Batteries!A:A, Batteries!E:E)/1000*60/K59</f>
        <v>#N/A</v>
      </c>
      <c r="O59" t="e">
        <f>_xlfn.XLOOKUP(A59, Motors!A:A, Motors!F:F)*4+_xlfn.XLOOKUP('Results (DO NOT EDIT)'!B59, Batteries!A:A, Batteries!D:D)</f>
        <v>#N/A</v>
      </c>
    </row>
    <row r="60" spans="1:15" ht="15" customHeight="1">
      <c r="A60">
        <f>MOD(ROW()-2, Calculations!$B$8) + 1</f>
        <v>1</v>
      </c>
      <c r="B60">
        <f>INT((ROW()-2)/Calculations!$B$8) + 1</f>
        <v>30</v>
      </c>
      <c r="C60" t="e">
        <f>Calculations!$B$2+_xlfn.XLOOKUP(A60, Motors!A:A, Motors!D:D)*Calculations!$B$5+_xlfn.XLOOKUP(B60, Batteries!A:A, Batteries!C:C)</f>
        <v>#N/A</v>
      </c>
      <c r="D60" t="e">
        <f>C60*Calculations!$B$4/Calculations!$B$5</f>
        <v>#N/A</v>
      </c>
      <c r="E60" t="e">
        <f t="shared" si="0"/>
        <v>#N/A</v>
      </c>
      <c r="F60" s="2">
        <f>_xlfn.MAXIFS(Motors!$E$2:$E$75, Motors!$A$2:$A$75, A60)</f>
        <v>156.57</v>
      </c>
      <c r="G60" t="e" cm="1">
        <f t="array" ref="G60">INDEX(_xlfn._xlws.FILTER(Motors!$J$2:$J$75, Motors!$A$2:$A$75='Results (DO NOT EDIT)'!$A60), MATCH(TRUE, INDEX(ABS(_xlfn._xlws.FILTER(Motors!$G$2:$G$75, Motors!$A$2:$A$75='Results (DO NOT EDIT)'!$A60) - 'Results (DO NOT EDIT)'!$D60) = MIN(INDEX(ABS(_xlfn._xlws.FILTER(Motors!$G$2:$G$75, Motors!$A$2:$A$75='Results (DO NOT EDIT)'!$A60) - 'Results (DO NOT EDIT)'!$D60), 0)), 0), 0))</f>
        <v>#N/A</v>
      </c>
      <c r="H60" s="2" t="e" cm="1">
        <f t="array" ref="H60">INDEX(
  Motors!$I$2:$I$75,
  MATCH(1, (Motors!$A$2:$A$75='Results (DO NOT EDIT)'!A60)*(Motors!$J$2:$J$75='Results (DO NOT EDIT)'!G60), 0)
)</f>
        <v>#N/A</v>
      </c>
      <c r="I60" s="2" cm="1">
        <f t="array" ref="I60">_xlfn.XLOOKUP(A60, Batteries!A:A, Batteries!E:E*Batteries!F:F)/1000</f>
        <v>72</v>
      </c>
      <c r="J60" s="2" t="e" cm="1">
        <f t="array" ref="J60">_xlfn.XLOOKUP(B60, Batteries!A:A, Batteries!E:E*Batteries!G:G)/1000</f>
        <v>#N/A</v>
      </c>
      <c r="K60" t="e">
        <f>C60/H60/Calculations!$B$6 + Calculations!$B$3</f>
        <v>#N/A</v>
      </c>
      <c r="L60" t="e">
        <f>(C60*Calculations!$B$7/H60/Calculations!$B$6)</f>
        <v>#N/A</v>
      </c>
      <c r="M60" t="e">
        <f>(C60*Calculations!$B$7/H60/Calculations!$B$6) + Calculations!$B$3</f>
        <v>#N/A</v>
      </c>
      <c r="N60" t="e">
        <f>_xlfn.XLOOKUP(B60, Batteries!A:A, Batteries!E:E)/1000*60/K60</f>
        <v>#N/A</v>
      </c>
      <c r="O60" t="e">
        <f>_xlfn.XLOOKUP(A60, Motors!A:A, Motors!F:F)*4+_xlfn.XLOOKUP('Results (DO NOT EDIT)'!B60, Batteries!A:A, Batteries!D:D)</f>
        <v>#N/A</v>
      </c>
    </row>
    <row r="61" spans="1:15" ht="15" customHeight="1">
      <c r="A61">
        <f>MOD(ROW()-2, Calculations!$B$8) + 1</f>
        <v>2</v>
      </c>
      <c r="B61">
        <f>INT((ROW()-2)/Calculations!$B$8) + 1</f>
        <v>30</v>
      </c>
      <c r="C61" t="e">
        <f>Calculations!$B$2+_xlfn.XLOOKUP(A61, Motors!A:A, Motors!D:D)*Calculations!$B$5+_xlfn.XLOOKUP(B61, Batteries!A:A, Batteries!C:C)</f>
        <v>#N/A</v>
      </c>
      <c r="D61" t="e">
        <f>C61*Calculations!$B$4/Calculations!$B$5</f>
        <v>#N/A</v>
      </c>
      <c r="E61" t="e">
        <f t="shared" si="0"/>
        <v>#N/A</v>
      </c>
      <c r="F61" s="2">
        <f>_xlfn.MAXIFS(Motors!$E$2:$E$75, Motors!$A$2:$A$75, A61)</f>
        <v>115</v>
      </c>
      <c r="G61" t="e" cm="1">
        <f t="array" ref="G61">INDEX(_xlfn._xlws.FILTER(Motors!$J$2:$J$75, Motors!$A$2:$A$75='Results (DO NOT EDIT)'!$A61), MATCH(TRUE, INDEX(ABS(_xlfn._xlws.FILTER(Motors!$G$2:$G$75, Motors!$A$2:$A$75='Results (DO NOT EDIT)'!$A61) - 'Results (DO NOT EDIT)'!$D61) = MIN(INDEX(ABS(_xlfn._xlws.FILTER(Motors!$G$2:$G$75, Motors!$A$2:$A$75='Results (DO NOT EDIT)'!$A61) - 'Results (DO NOT EDIT)'!$D61), 0)), 0), 0))</f>
        <v>#N/A</v>
      </c>
      <c r="H61" s="2" t="e" cm="1">
        <f t="array" ref="H61">INDEX(
  Motors!$I$2:$I$75,
  MATCH(1, (Motors!$A$2:$A$75='Results (DO NOT EDIT)'!A61)*(Motors!$J$2:$J$75='Results (DO NOT EDIT)'!G61), 0)
)</f>
        <v>#N/A</v>
      </c>
      <c r="I61" s="2" cm="1">
        <f t="array" ref="I61">_xlfn.XLOOKUP(A61, Batteries!A:A, Batteries!E:E*Batteries!F:F)/1000</f>
        <v>52.25</v>
      </c>
      <c r="J61" s="2" t="e" cm="1">
        <f t="array" ref="J61">_xlfn.XLOOKUP(B61, Batteries!A:A, Batteries!E:E*Batteries!G:G)/1000</f>
        <v>#N/A</v>
      </c>
      <c r="K61" t="e">
        <f>C61/H61/Calculations!$B$6 + Calculations!$B$3</f>
        <v>#N/A</v>
      </c>
      <c r="L61" t="e">
        <f>(C61*Calculations!$B$7/H61/Calculations!$B$6)</f>
        <v>#N/A</v>
      </c>
      <c r="M61" t="e">
        <f>(C61*Calculations!$B$7/H61/Calculations!$B$6) + Calculations!$B$3</f>
        <v>#N/A</v>
      </c>
      <c r="N61" t="e">
        <f>_xlfn.XLOOKUP(B61, Batteries!A:A, Batteries!E:E)/1000*60/K61</f>
        <v>#N/A</v>
      </c>
      <c r="O61" t="e">
        <f>_xlfn.XLOOKUP(A61, Motors!A:A, Motors!F:F)*4+_xlfn.XLOOKUP('Results (DO NOT EDIT)'!B61, Batteries!A:A, Batteries!D:D)</f>
        <v>#N/A</v>
      </c>
    </row>
    <row r="62" spans="1:15" ht="15" customHeight="1">
      <c r="A62">
        <f>MOD(ROW()-2, Calculations!$B$8) + 1</f>
        <v>1</v>
      </c>
      <c r="B62">
        <f>INT((ROW()-2)/Calculations!$B$8) + 1</f>
        <v>31</v>
      </c>
      <c r="C62" t="e">
        <f>Calculations!$B$2+_xlfn.XLOOKUP(A62, Motors!A:A, Motors!D:D)*Calculations!$B$5+_xlfn.XLOOKUP(B62, Batteries!A:A, Batteries!C:C)</f>
        <v>#N/A</v>
      </c>
      <c r="D62" t="e">
        <f>C62*Calculations!$B$4/Calculations!$B$5</f>
        <v>#N/A</v>
      </c>
      <c r="E62" t="e">
        <f t="shared" si="0"/>
        <v>#N/A</v>
      </c>
      <c r="F62" s="2">
        <f>_xlfn.MAXIFS(Motors!$E$2:$E$75, Motors!$A$2:$A$75, A62)</f>
        <v>156.57</v>
      </c>
      <c r="G62" t="e" cm="1">
        <f t="array" ref="G62">INDEX(_xlfn._xlws.FILTER(Motors!$J$2:$J$75, Motors!$A$2:$A$75='Results (DO NOT EDIT)'!$A62), MATCH(TRUE, INDEX(ABS(_xlfn._xlws.FILTER(Motors!$G$2:$G$75, Motors!$A$2:$A$75='Results (DO NOT EDIT)'!$A62) - 'Results (DO NOT EDIT)'!$D62) = MIN(INDEX(ABS(_xlfn._xlws.FILTER(Motors!$G$2:$G$75, Motors!$A$2:$A$75='Results (DO NOT EDIT)'!$A62) - 'Results (DO NOT EDIT)'!$D62), 0)), 0), 0))</f>
        <v>#N/A</v>
      </c>
      <c r="H62" s="2" t="e" cm="1">
        <f t="array" ref="H62">INDEX(
  Motors!$I$2:$I$75,
  MATCH(1, (Motors!$A$2:$A$75='Results (DO NOT EDIT)'!A62)*(Motors!$J$2:$J$75='Results (DO NOT EDIT)'!G62), 0)
)</f>
        <v>#N/A</v>
      </c>
      <c r="I62" s="2" cm="1">
        <f t="array" ref="I62">_xlfn.XLOOKUP(A62, Batteries!A:A, Batteries!E:E*Batteries!F:F)/1000</f>
        <v>72</v>
      </c>
      <c r="J62" s="2" t="e" cm="1">
        <f t="array" ref="J62">_xlfn.XLOOKUP(B62, Batteries!A:A, Batteries!E:E*Batteries!G:G)/1000</f>
        <v>#N/A</v>
      </c>
      <c r="K62" t="e">
        <f>C62/H62/Calculations!$B$6 + Calculations!$B$3</f>
        <v>#N/A</v>
      </c>
      <c r="L62" t="e">
        <f>(C62*Calculations!$B$7/H62/Calculations!$B$6)</f>
        <v>#N/A</v>
      </c>
      <c r="M62" t="e">
        <f>(C62*Calculations!$B$7/H62/Calculations!$B$6) + Calculations!$B$3</f>
        <v>#N/A</v>
      </c>
      <c r="N62" t="e">
        <f>_xlfn.XLOOKUP(B62, Batteries!A:A, Batteries!E:E)/1000*60/K62</f>
        <v>#N/A</v>
      </c>
      <c r="O62" t="e">
        <f>_xlfn.XLOOKUP(A62, Motors!A:A, Motors!F:F)*4+_xlfn.XLOOKUP('Results (DO NOT EDIT)'!B62, Batteries!A:A, Batteries!D:D)</f>
        <v>#N/A</v>
      </c>
    </row>
    <row r="63" spans="1:15" ht="15" customHeight="1">
      <c r="A63">
        <f>MOD(ROW()-2, Calculations!$B$8) + 1</f>
        <v>2</v>
      </c>
      <c r="B63">
        <f>INT((ROW()-2)/Calculations!$B$8) + 1</f>
        <v>31</v>
      </c>
      <c r="C63" t="e">
        <f>Calculations!$B$2+_xlfn.XLOOKUP(A63, Motors!A:A, Motors!D:D)*Calculations!$B$5+_xlfn.XLOOKUP(B63, Batteries!A:A, Batteries!C:C)</f>
        <v>#N/A</v>
      </c>
      <c r="D63" t="e">
        <f>C63*Calculations!$B$4/Calculations!$B$5</f>
        <v>#N/A</v>
      </c>
      <c r="E63" t="e">
        <f t="shared" si="0"/>
        <v>#N/A</v>
      </c>
      <c r="F63" s="2">
        <f>_xlfn.MAXIFS(Motors!$E$2:$E$75, Motors!$A$2:$A$75, A63)</f>
        <v>115</v>
      </c>
      <c r="G63" t="e" cm="1">
        <f t="array" ref="G63">INDEX(_xlfn._xlws.FILTER(Motors!$J$2:$J$75, Motors!$A$2:$A$75='Results (DO NOT EDIT)'!$A63), MATCH(TRUE, INDEX(ABS(_xlfn._xlws.FILTER(Motors!$G$2:$G$75, Motors!$A$2:$A$75='Results (DO NOT EDIT)'!$A63) - 'Results (DO NOT EDIT)'!$D63) = MIN(INDEX(ABS(_xlfn._xlws.FILTER(Motors!$G$2:$G$75, Motors!$A$2:$A$75='Results (DO NOT EDIT)'!$A63) - 'Results (DO NOT EDIT)'!$D63), 0)), 0), 0))</f>
        <v>#N/A</v>
      </c>
      <c r="H63" s="2" t="e" cm="1">
        <f t="array" ref="H63">INDEX(
  Motors!$I$2:$I$75,
  MATCH(1, (Motors!$A$2:$A$75='Results (DO NOT EDIT)'!A63)*(Motors!$J$2:$J$75='Results (DO NOT EDIT)'!G63), 0)
)</f>
        <v>#N/A</v>
      </c>
      <c r="I63" s="2" cm="1">
        <f t="array" ref="I63">_xlfn.XLOOKUP(A63, Batteries!A:A, Batteries!E:E*Batteries!F:F)/1000</f>
        <v>52.25</v>
      </c>
      <c r="J63" s="2" t="e" cm="1">
        <f t="array" ref="J63">_xlfn.XLOOKUP(B63, Batteries!A:A, Batteries!E:E*Batteries!G:G)/1000</f>
        <v>#N/A</v>
      </c>
      <c r="K63" t="e">
        <f>C63/H63/Calculations!$B$6 + Calculations!$B$3</f>
        <v>#N/A</v>
      </c>
      <c r="L63" t="e">
        <f>(C63*Calculations!$B$7/H63/Calculations!$B$6)</f>
        <v>#N/A</v>
      </c>
      <c r="M63" t="e">
        <f>(C63*Calculations!$B$7/H63/Calculations!$B$6) + Calculations!$B$3</f>
        <v>#N/A</v>
      </c>
      <c r="N63" t="e">
        <f>_xlfn.XLOOKUP(B63, Batteries!A:A, Batteries!E:E)/1000*60/K63</f>
        <v>#N/A</v>
      </c>
      <c r="O63" t="e">
        <f>_xlfn.XLOOKUP(A63, Motors!A:A, Motors!F:F)*4+_xlfn.XLOOKUP('Results (DO NOT EDIT)'!B63, Batteries!A:A, Batteries!D:D)</f>
        <v>#N/A</v>
      </c>
    </row>
    <row r="64" spans="1:15" ht="15" customHeight="1">
      <c r="A64">
        <f>MOD(ROW()-2, Calculations!$B$8) + 1</f>
        <v>1</v>
      </c>
      <c r="B64">
        <f>INT((ROW()-2)/Calculations!$B$8) + 1</f>
        <v>32</v>
      </c>
      <c r="C64" t="e">
        <f>Calculations!$B$2+_xlfn.XLOOKUP(A64, Motors!A:A, Motors!D:D)*Calculations!$B$5+_xlfn.XLOOKUP(B64, Batteries!A:A, Batteries!C:C)</f>
        <v>#N/A</v>
      </c>
      <c r="D64" t="e">
        <f>C64*Calculations!$B$4/Calculations!$B$5</f>
        <v>#N/A</v>
      </c>
      <c r="E64" t="e">
        <f t="shared" si="0"/>
        <v>#N/A</v>
      </c>
      <c r="F64" s="2">
        <f>_xlfn.MAXIFS(Motors!$E$2:$E$75, Motors!$A$2:$A$75, A64)</f>
        <v>156.57</v>
      </c>
      <c r="G64" t="e" cm="1">
        <f t="array" ref="G64">INDEX(_xlfn._xlws.FILTER(Motors!$J$2:$J$75, Motors!$A$2:$A$75='Results (DO NOT EDIT)'!$A64), MATCH(TRUE, INDEX(ABS(_xlfn._xlws.FILTER(Motors!$G$2:$G$75, Motors!$A$2:$A$75='Results (DO NOT EDIT)'!$A64) - 'Results (DO NOT EDIT)'!$D64) = MIN(INDEX(ABS(_xlfn._xlws.FILTER(Motors!$G$2:$G$75, Motors!$A$2:$A$75='Results (DO NOT EDIT)'!$A64) - 'Results (DO NOT EDIT)'!$D64), 0)), 0), 0))</f>
        <v>#N/A</v>
      </c>
      <c r="H64" s="2" t="e" cm="1">
        <f t="array" ref="H64">INDEX(
  Motors!$I$2:$I$75,
  MATCH(1, (Motors!$A$2:$A$75='Results (DO NOT EDIT)'!A64)*(Motors!$J$2:$J$75='Results (DO NOT EDIT)'!G64), 0)
)</f>
        <v>#N/A</v>
      </c>
      <c r="I64" s="2" cm="1">
        <f t="array" ref="I64">_xlfn.XLOOKUP(A64, Batteries!A:A, Batteries!E:E*Batteries!F:F)/1000</f>
        <v>72</v>
      </c>
      <c r="J64" s="2" t="e" cm="1">
        <f t="array" ref="J64">_xlfn.XLOOKUP(B64, Batteries!A:A, Batteries!E:E*Batteries!G:G)/1000</f>
        <v>#N/A</v>
      </c>
      <c r="K64" t="e">
        <f>C64/H64/Calculations!$B$6 + Calculations!$B$3</f>
        <v>#N/A</v>
      </c>
      <c r="L64" t="e">
        <f>(C64*Calculations!$B$7/H64/Calculations!$B$6)</f>
        <v>#N/A</v>
      </c>
      <c r="M64" t="e">
        <f>(C64*Calculations!$B$7/H64/Calculations!$B$6) + Calculations!$B$3</f>
        <v>#N/A</v>
      </c>
      <c r="N64" t="e">
        <f>_xlfn.XLOOKUP(B64, Batteries!A:A, Batteries!E:E)/1000*60/K64</f>
        <v>#N/A</v>
      </c>
      <c r="O64" t="e">
        <f>_xlfn.XLOOKUP(A64, Motors!A:A, Motors!F:F)*4+_xlfn.XLOOKUP('Results (DO NOT EDIT)'!B64, Batteries!A:A, Batteries!D:D)</f>
        <v>#N/A</v>
      </c>
    </row>
    <row r="65" spans="1:15" ht="15" customHeight="1">
      <c r="A65">
        <f>MOD(ROW()-2, Calculations!$B$8) + 1</f>
        <v>2</v>
      </c>
      <c r="B65">
        <f>INT((ROW()-2)/Calculations!$B$8) + 1</f>
        <v>32</v>
      </c>
      <c r="C65" t="e">
        <f>Calculations!$B$2+_xlfn.XLOOKUP(A65, Motors!A:A, Motors!D:D)*Calculations!$B$5+_xlfn.XLOOKUP(B65, Batteries!A:A, Batteries!C:C)</f>
        <v>#N/A</v>
      </c>
      <c r="D65" t="e">
        <f>C65*Calculations!$B$4/Calculations!$B$5</f>
        <v>#N/A</v>
      </c>
      <c r="E65" t="e">
        <f t="shared" si="0"/>
        <v>#N/A</v>
      </c>
      <c r="F65" s="2">
        <f>_xlfn.MAXIFS(Motors!$E$2:$E$75, Motors!$A$2:$A$75, A65)</f>
        <v>115</v>
      </c>
      <c r="G65" t="e" cm="1">
        <f t="array" ref="G65">INDEX(_xlfn._xlws.FILTER(Motors!$J$2:$J$75, Motors!$A$2:$A$75='Results (DO NOT EDIT)'!$A65), MATCH(TRUE, INDEX(ABS(_xlfn._xlws.FILTER(Motors!$G$2:$G$75, Motors!$A$2:$A$75='Results (DO NOT EDIT)'!$A65) - 'Results (DO NOT EDIT)'!$D65) = MIN(INDEX(ABS(_xlfn._xlws.FILTER(Motors!$G$2:$G$75, Motors!$A$2:$A$75='Results (DO NOT EDIT)'!$A65) - 'Results (DO NOT EDIT)'!$D65), 0)), 0), 0))</f>
        <v>#N/A</v>
      </c>
      <c r="H65" s="2" t="e" cm="1">
        <f t="array" ref="H65">INDEX(
  Motors!$I$2:$I$75,
  MATCH(1, (Motors!$A$2:$A$75='Results (DO NOT EDIT)'!A65)*(Motors!$J$2:$J$75='Results (DO NOT EDIT)'!G65), 0)
)</f>
        <v>#N/A</v>
      </c>
      <c r="I65" s="2" cm="1">
        <f t="array" ref="I65">_xlfn.XLOOKUP(A65, Batteries!A:A, Batteries!E:E*Batteries!F:F)/1000</f>
        <v>52.25</v>
      </c>
      <c r="J65" s="2" t="e" cm="1">
        <f t="array" ref="J65">_xlfn.XLOOKUP(B65, Batteries!A:A, Batteries!E:E*Batteries!G:G)/1000</f>
        <v>#N/A</v>
      </c>
      <c r="K65" t="e">
        <f>C65/H65/Calculations!$B$6 + Calculations!$B$3</f>
        <v>#N/A</v>
      </c>
      <c r="L65" t="e">
        <f>(C65*Calculations!$B$7/H65/Calculations!$B$6)</f>
        <v>#N/A</v>
      </c>
      <c r="M65" t="e">
        <f>(C65*Calculations!$B$7/H65/Calculations!$B$6) + Calculations!$B$3</f>
        <v>#N/A</v>
      </c>
      <c r="N65" t="e">
        <f>_xlfn.XLOOKUP(B65, Batteries!A:A, Batteries!E:E)/1000*60/K65</f>
        <v>#N/A</v>
      </c>
      <c r="O65" t="e">
        <f>_xlfn.XLOOKUP(A65, Motors!A:A, Motors!F:F)*4+_xlfn.XLOOKUP('Results (DO NOT EDIT)'!B65, Batteries!A:A, Batteries!D:D)</f>
        <v>#N/A</v>
      </c>
    </row>
    <row r="66" spans="1:15" ht="15" customHeight="1">
      <c r="A66">
        <f>MOD(ROW()-2, Calculations!$B$8) + 1</f>
        <v>1</v>
      </c>
      <c r="B66">
        <f>INT((ROW()-2)/Calculations!$B$8) + 1</f>
        <v>33</v>
      </c>
      <c r="C66" t="e">
        <f>Calculations!$B$2+_xlfn.XLOOKUP(A66, Motors!A:A, Motors!D:D)*Calculations!$B$5+_xlfn.XLOOKUP(B66, Batteries!A:A, Batteries!C:C)</f>
        <v>#N/A</v>
      </c>
      <c r="D66" t="e">
        <f>C66*Calculations!$B$4/Calculations!$B$5</f>
        <v>#N/A</v>
      </c>
      <c r="E66" t="e">
        <f t="shared" si="0"/>
        <v>#N/A</v>
      </c>
      <c r="F66" s="2">
        <f>_xlfn.MAXIFS(Motors!$E$2:$E$75, Motors!$A$2:$A$75, A66)</f>
        <v>156.57</v>
      </c>
      <c r="G66" t="e" cm="1">
        <f t="array" ref="G66">INDEX(_xlfn._xlws.FILTER(Motors!$J$2:$J$75, Motors!$A$2:$A$75='Results (DO NOT EDIT)'!$A66), MATCH(TRUE, INDEX(ABS(_xlfn._xlws.FILTER(Motors!$G$2:$G$75, Motors!$A$2:$A$75='Results (DO NOT EDIT)'!$A66) - 'Results (DO NOT EDIT)'!$D66) = MIN(INDEX(ABS(_xlfn._xlws.FILTER(Motors!$G$2:$G$75, Motors!$A$2:$A$75='Results (DO NOT EDIT)'!$A66) - 'Results (DO NOT EDIT)'!$D66), 0)), 0), 0))</f>
        <v>#N/A</v>
      </c>
      <c r="H66" s="2" t="e" cm="1">
        <f t="array" ref="H66">INDEX(
  Motors!$I$2:$I$75,
  MATCH(1, (Motors!$A$2:$A$75='Results (DO NOT EDIT)'!A66)*(Motors!$J$2:$J$75='Results (DO NOT EDIT)'!G66), 0)
)</f>
        <v>#N/A</v>
      </c>
      <c r="I66" s="2" cm="1">
        <f t="array" ref="I66">_xlfn.XLOOKUP(A66, Batteries!A:A, Batteries!E:E*Batteries!F:F)/1000</f>
        <v>72</v>
      </c>
      <c r="J66" s="2" t="e" cm="1">
        <f t="array" ref="J66">_xlfn.XLOOKUP(B66, Batteries!A:A, Batteries!E:E*Batteries!G:G)/1000</f>
        <v>#N/A</v>
      </c>
      <c r="K66" t="e">
        <f>C66/H66/Calculations!$B$6 + Calculations!$B$3</f>
        <v>#N/A</v>
      </c>
      <c r="L66" t="e">
        <f>(C66*Calculations!$B$7/H66/Calculations!$B$6)</f>
        <v>#N/A</v>
      </c>
      <c r="M66" t="e">
        <f>(C66*Calculations!$B$7/H66/Calculations!$B$6) + Calculations!$B$3</f>
        <v>#N/A</v>
      </c>
      <c r="N66" t="e">
        <f>_xlfn.XLOOKUP(B66, Batteries!A:A, Batteries!E:E)/1000*60/K66</f>
        <v>#N/A</v>
      </c>
      <c r="O66" t="e">
        <f>_xlfn.XLOOKUP(A66, Motors!A:A, Motors!F:F)*4+_xlfn.XLOOKUP('Results (DO NOT EDIT)'!B66, Batteries!A:A, Batteries!D:D)</f>
        <v>#N/A</v>
      </c>
    </row>
    <row r="67" spans="1:15" ht="15" customHeight="1">
      <c r="A67">
        <f>MOD(ROW()-2, Calculations!$B$8) + 1</f>
        <v>2</v>
      </c>
      <c r="B67">
        <f>INT((ROW()-2)/Calculations!$B$8) + 1</f>
        <v>33</v>
      </c>
      <c r="C67" t="e">
        <f>Calculations!$B$2+_xlfn.XLOOKUP(A67, Motors!A:A, Motors!D:D)*Calculations!$B$5+_xlfn.XLOOKUP(B67, Batteries!A:A, Batteries!C:C)</f>
        <v>#N/A</v>
      </c>
      <c r="D67" t="e">
        <f>C67*Calculations!$B$4/Calculations!$B$5</f>
        <v>#N/A</v>
      </c>
      <c r="E67" t="e">
        <f t="shared" ref="E67:E115" si="1">F67*4/C67</f>
        <v>#N/A</v>
      </c>
      <c r="F67" s="2">
        <f>_xlfn.MAXIFS(Motors!$E$2:$E$75, Motors!$A$2:$A$75, A67)</f>
        <v>115</v>
      </c>
      <c r="G67" t="e" cm="1">
        <f t="array" ref="G67">INDEX(_xlfn._xlws.FILTER(Motors!$J$2:$J$75, Motors!$A$2:$A$75='Results (DO NOT EDIT)'!$A67), MATCH(TRUE, INDEX(ABS(_xlfn._xlws.FILTER(Motors!$G$2:$G$75, Motors!$A$2:$A$75='Results (DO NOT EDIT)'!$A67) - 'Results (DO NOT EDIT)'!$D67) = MIN(INDEX(ABS(_xlfn._xlws.FILTER(Motors!$G$2:$G$75, Motors!$A$2:$A$75='Results (DO NOT EDIT)'!$A67) - 'Results (DO NOT EDIT)'!$D67), 0)), 0), 0))</f>
        <v>#N/A</v>
      </c>
      <c r="H67" s="2" t="e" cm="1">
        <f t="array" ref="H67">INDEX(
  Motors!$I$2:$I$75,
  MATCH(1, (Motors!$A$2:$A$75='Results (DO NOT EDIT)'!A67)*(Motors!$J$2:$J$75='Results (DO NOT EDIT)'!G67), 0)
)</f>
        <v>#N/A</v>
      </c>
      <c r="I67" s="2" cm="1">
        <f t="array" ref="I67">_xlfn.XLOOKUP(A67, Batteries!A:A, Batteries!E:E*Batteries!F:F)/1000</f>
        <v>52.25</v>
      </c>
      <c r="J67" s="2" t="e" cm="1">
        <f t="array" ref="J67">_xlfn.XLOOKUP(B67, Batteries!A:A, Batteries!E:E*Batteries!G:G)/1000</f>
        <v>#N/A</v>
      </c>
      <c r="K67" t="e">
        <f>C67/H67/Calculations!$B$6 + Calculations!$B$3</f>
        <v>#N/A</v>
      </c>
      <c r="L67" t="e">
        <f>(C67*Calculations!$B$7/H67/Calculations!$B$6)</f>
        <v>#N/A</v>
      </c>
      <c r="M67" t="e">
        <f>(C67*Calculations!$B$7/H67/Calculations!$B$6) + Calculations!$B$3</f>
        <v>#N/A</v>
      </c>
      <c r="N67" t="e">
        <f>_xlfn.XLOOKUP(B67, Batteries!A:A, Batteries!E:E)/1000*60/K67</f>
        <v>#N/A</v>
      </c>
      <c r="O67" t="e">
        <f>_xlfn.XLOOKUP(A67, Motors!A:A, Motors!F:F)*4+_xlfn.XLOOKUP('Results (DO NOT EDIT)'!B67, Batteries!A:A, Batteries!D:D)</f>
        <v>#N/A</v>
      </c>
    </row>
    <row r="68" spans="1:15" ht="15" customHeight="1">
      <c r="A68">
        <f>MOD(ROW()-2, Calculations!$B$8) + 1</f>
        <v>1</v>
      </c>
      <c r="B68">
        <f>INT((ROW()-2)/Calculations!$B$8) + 1</f>
        <v>34</v>
      </c>
      <c r="C68" t="e">
        <f>Calculations!$B$2+_xlfn.XLOOKUP(A68, Motors!A:A, Motors!D:D)*Calculations!$B$5+_xlfn.XLOOKUP(B68, Batteries!A:A, Batteries!C:C)</f>
        <v>#N/A</v>
      </c>
      <c r="D68" t="e">
        <f>C68*Calculations!$B$4/Calculations!$B$5</f>
        <v>#N/A</v>
      </c>
      <c r="E68" t="e">
        <f t="shared" si="1"/>
        <v>#N/A</v>
      </c>
      <c r="F68" s="2">
        <f>_xlfn.MAXIFS(Motors!$E$2:$E$75, Motors!$A$2:$A$75, A68)</f>
        <v>156.57</v>
      </c>
      <c r="G68" t="e" cm="1">
        <f t="array" ref="G68">INDEX(_xlfn._xlws.FILTER(Motors!$J$2:$J$75, Motors!$A$2:$A$75='Results (DO NOT EDIT)'!$A68), MATCH(TRUE, INDEX(ABS(_xlfn._xlws.FILTER(Motors!$G$2:$G$75, Motors!$A$2:$A$75='Results (DO NOT EDIT)'!$A68) - 'Results (DO NOT EDIT)'!$D68) = MIN(INDEX(ABS(_xlfn._xlws.FILTER(Motors!$G$2:$G$75, Motors!$A$2:$A$75='Results (DO NOT EDIT)'!$A68) - 'Results (DO NOT EDIT)'!$D68), 0)), 0), 0))</f>
        <v>#N/A</v>
      </c>
      <c r="H68" s="2" t="e" cm="1">
        <f t="array" ref="H68">INDEX(
  Motors!$I$2:$I$75,
  MATCH(1, (Motors!$A$2:$A$75='Results (DO NOT EDIT)'!A68)*(Motors!$J$2:$J$75='Results (DO NOT EDIT)'!G68), 0)
)</f>
        <v>#N/A</v>
      </c>
      <c r="I68" s="2" cm="1">
        <f t="array" ref="I68">_xlfn.XLOOKUP(A68, Batteries!A:A, Batteries!E:E*Batteries!F:F)/1000</f>
        <v>72</v>
      </c>
      <c r="J68" s="2" t="e" cm="1">
        <f t="array" ref="J68">_xlfn.XLOOKUP(B68, Batteries!A:A, Batteries!E:E*Batteries!G:G)/1000</f>
        <v>#N/A</v>
      </c>
      <c r="K68" t="e">
        <f>C68/H68/Calculations!$B$6 + Calculations!$B$3</f>
        <v>#N/A</v>
      </c>
      <c r="L68" t="e">
        <f>(C68*Calculations!$B$7/H68/Calculations!$B$6)</f>
        <v>#N/A</v>
      </c>
      <c r="M68" t="e">
        <f>(C68*Calculations!$B$7/H68/Calculations!$B$6) + Calculations!$B$3</f>
        <v>#N/A</v>
      </c>
      <c r="N68" t="e">
        <f>_xlfn.XLOOKUP(B68, Batteries!A:A, Batteries!E:E)/1000*60/K68</f>
        <v>#N/A</v>
      </c>
      <c r="O68" t="e">
        <f>_xlfn.XLOOKUP(A68, Motors!A:A, Motors!F:F)*4+_xlfn.XLOOKUP('Results (DO NOT EDIT)'!B68, Batteries!A:A, Batteries!D:D)</f>
        <v>#N/A</v>
      </c>
    </row>
    <row r="69" spans="1:15" ht="15" customHeight="1">
      <c r="A69">
        <f>MOD(ROW()-2, Calculations!$B$8) + 1</f>
        <v>2</v>
      </c>
      <c r="B69">
        <f>INT((ROW()-2)/Calculations!$B$8) + 1</f>
        <v>34</v>
      </c>
      <c r="C69" t="e">
        <f>Calculations!$B$2+_xlfn.XLOOKUP(A69, Motors!A:A, Motors!D:D)*Calculations!$B$5+_xlfn.XLOOKUP(B69, Batteries!A:A, Batteries!C:C)</f>
        <v>#N/A</v>
      </c>
      <c r="D69" t="e">
        <f>C69*Calculations!$B$4/Calculations!$B$5</f>
        <v>#N/A</v>
      </c>
      <c r="E69" t="e">
        <f t="shared" si="1"/>
        <v>#N/A</v>
      </c>
      <c r="F69" s="2">
        <f>_xlfn.MAXIFS(Motors!$E$2:$E$75, Motors!$A$2:$A$75, A69)</f>
        <v>115</v>
      </c>
      <c r="G69" t="e" cm="1">
        <f t="array" ref="G69">INDEX(_xlfn._xlws.FILTER(Motors!$J$2:$J$75, Motors!$A$2:$A$75='Results (DO NOT EDIT)'!$A69), MATCH(TRUE, INDEX(ABS(_xlfn._xlws.FILTER(Motors!$G$2:$G$75, Motors!$A$2:$A$75='Results (DO NOT EDIT)'!$A69) - 'Results (DO NOT EDIT)'!$D69) = MIN(INDEX(ABS(_xlfn._xlws.FILTER(Motors!$G$2:$G$75, Motors!$A$2:$A$75='Results (DO NOT EDIT)'!$A69) - 'Results (DO NOT EDIT)'!$D69), 0)), 0), 0))</f>
        <v>#N/A</v>
      </c>
      <c r="H69" s="2" t="e" cm="1">
        <f t="array" ref="H69">INDEX(
  Motors!$I$2:$I$75,
  MATCH(1, (Motors!$A$2:$A$75='Results (DO NOT EDIT)'!A69)*(Motors!$J$2:$J$75='Results (DO NOT EDIT)'!G69), 0)
)</f>
        <v>#N/A</v>
      </c>
      <c r="I69" s="2" cm="1">
        <f t="array" ref="I69">_xlfn.XLOOKUP(A69, Batteries!A:A, Batteries!E:E*Batteries!F:F)/1000</f>
        <v>52.25</v>
      </c>
      <c r="J69" s="2" t="e" cm="1">
        <f t="array" ref="J69">_xlfn.XLOOKUP(B69, Batteries!A:A, Batteries!E:E*Batteries!G:G)/1000</f>
        <v>#N/A</v>
      </c>
      <c r="K69" t="e">
        <f>C69/H69/Calculations!$B$6 + Calculations!$B$3</f>
        <v>#N/A</v>
      </c>
      <c r="L69" t="e">
        <f>(C69*Calculations!$B$7/H69/Calculations!$B$6)</f>
        <v>#N/A</v>
      </c>
      <c r="M69" t="e">
        <f>(C69*Calculations!$B$7/H69/Calculations!$B$6) + Calculations!$B$3</f>
        <v>#N/A</v>
      </c>
      <c r="N69" t="e">
        <f>_xlfn.XLOOKUP(B69, Batteries!A:A, Batteries!E:E)/1000*60/K69</f>
        <v>#N/A</v>
      </c>
      <c r="O69" t="e">
        <f>_xlfn.XLOOKUP(A69, Motors!A:A, Motors!F:F)*4+_xlfn.XLOOKUP('Results (DO NOT EDIT)'!B69, Batteries!A:A, Batteries!D:D)</f>
        <v>#N/A</v>
      </c>
    </row>
    <row r="70" spans="1:15" ht="15" customHeight="1">
      <c r="A70">
        <f>MOD(ROW()-2, Calculations!$B$8) + 1</f>
        <v>1</v>
      </c>
      <c r="B70">
        <f>INT((ROW()-2)/Calculations!$B$8) + 1</f>
        <v>35</v>
      </c>
      <c r="C70" t="e">
        <f>Calculations!$B$2+_xlfn.XLOOKUP(A70, Motors!A:A, Motors!D:D)*Calculations!$B$5+_xlfn.XLOOKUP(B70, Batteries!A:A, Batteries!C:C)</f>
        <v>#N/A</v>
      </c>
      <c r="D70" t="e">
        <f>C70*Calculations!$B$4/Calculations!$B$5</f>
        <v>#N/A</v>
      </c>
      <c r="E70" t="e">
        <f t="shared" si="1"/>
        <v>#N/A</v>
      </c>
      <c r="F70" s="2">
        <f>_xlfn.MAXIFS(Motors!$E$2:$E$75, Motors!$A$2:$A$75, A70)</f>
        <v>156.57</v>
      </c>
      <c r="G70" t="e" cm="1">
        <f t="array" ref="G70">INDEX(_xlfn._xlws.FILTER(Motors!$J$2:$J$75, Motors!$A$2:$A$75='Results (DO NOT EDIT)'!$A70), MATCH(TRUE, INDEX(ABS(_xlfn._xlws.FILTER(Motors!$G$2:$G$75, Motors!$A$2:$A$75='Results (DO NOT EDIT)'!$A70) - 'Results (DO NOT EDIT)'!$D70) = MIN(INDEX(ABS(_xlfn._xlws.FILTER(Motors!$G$2:$G$75, Motors!$A$2:$A$75='Results (DO NOT EDIT)'!$A70) - 'Results (DO NOT EDIT)'!$D70), 0)), 0), 0))</f>
        <v>#N/A</v>
      </c>
      <c r="H70" s="2" t="e" cm="1">
        <f t="array" ref="H70">INDEX(
  Motors!$I$2:$I$75,
  MATCH(1, (Motors!$A$2:$A$75='Results (DO NOT EDIT)'!A70)*(Motors!$J$2:$J$75='Results (DO NOT EDIT)'!G70), 0)
)</f>
        <v>#N/A</v>
      </c>
      <c r="I70" s="2" cm="1">
        <f t="array" ref="I70">_xlfn.XLOOKUP(A70, Batteries!A:A, Batteries!E:E*Batteries!F:F)/1000</f>
        <v>72</v>
      </c>
      <c r="J70" s="2" t="e" cm="1">
        <f t="array" ref="J70">_xlfn.XLOOKUP(B70, Batteries!A:A, Batteries!E:E*Batteries!G:G)/1000</f>
        <v>#N/A</v>
      </c>
      <c r="K70" t="e">
        <f>C70/H70/Calculations!$B$6 + Calculations!$B$3</f>
        <v>#N/A</v>
      </c>
      <c r="L70" t="e">
        <f>(C70*Calculations!$B$7/H70/Calculations!$B$6)</f>
        <v>#N/A</v>
      </c>
      <c r="M70" t="e">
        <f>(C70*Calculations!$B$7/H70/Calculations!$B$6) + Calculations!$B$3</f>
        <v>#N/A</v>
      </c>
      <c r="N70" t="e">
        <f>_xlfn.XLOOKUP(B70, Batteries!A:A, Batteries!E:E)/1000*60/K70</f>
        <v>#N/A</v>
      </c>
      <c r="O70" t="e">
        <f>_xlfn.XLOOKUP(A70, Motors!A:A, Motors!F:F)*4+_xlfn.XLOOKUP('Results (DO NOT EDIT)'!B70, Batteries!A:A, Batteries!D:D)</f>
        <v>#N/A</v>
      </c>
    </row>
    <row r="71" spans="1:15" ht="15" customHeight="1">
      <c r="A71">
        <f>MOD(ROW()-2, Calculations!$B$8) + 1</f>
        <v>2</v>
      </c>
      <c r="B71">
        <f>INT((ROW()-2)/Calculations!$B$8) + 1</f>
        <v>35</v>
      </c>
      <c r="C71" t="e">
        <f>Calculations!$B$2+_xlfn.XLOOKUP(A71, Motors!A:A, Motors!D:D)*Calculations!$B$5+_xlfn.XLOOKUP(B71, Batteries!A:A, Batteries!C:C)</f>
        <v>#N/A</v>
      </c>
      <c r="D71" t="e">
        <f>C71*Calculations!$B$4/Calculations!$B$5</f>
        <v>#N/A</v>
      </c>
      <c r="E71" t="e">
        <f t="shared" si="1"/>
        <v>#N/A</v>
      </c>
      <c r="F71" s="2">
        <f>_xlfn.MAXIFS(Motors!$E$2:$E$75, Motors!$A$2:$A$75, A71)</f>
        <v>115</v>
      </c>
      <c r="G71" t="e" cm="1">
        <f t="array" ref="G71">INDEX(_xlfn._xlws.FILTER(Motors!$J$2:$J$75, Motors!$A$2:$A$75='Results (DO NOT EDIT)'!$A71), MATCH(TRUE, INDEX(ABS(_xlfn._xlws.FILTER(Motors!$G$2:$G$75, Motors!$A$2:$A$75='Results (DO NOT EDIT)'!$A71) - 'Results (DO NOT EDIT)'!$D71) = MIN(INDEX(ABS(_xlfn._xlws.FILTER(Motors!$G$2:$G$75, Motors!$A$2:$A$75='Results (DO NOT EDIT)'!$A71) - 'Results (DO NOT EDIT)'!$D71), 0)), 0), 0))</f>
        <v>#N/A</v>
      </c>
      <c r="H71" s="2" t="e" cm="1">
        <f t="array" ref="H71">INDEX(
  Motors!$I$2:$I$75,
  MATCH(1, (Motors!$A$2:$A$75='Results (DO NOT EDIT)'!A71)*(Motors!$J$2:$J$75='Results (DO NOT EDIT)'!G71), 0)
)</f>
        <v>#N/A</v>
      </c>
      <c r="I71" s="2" cm="1">
        <f t="array" ref="I71">_xlfn.XLOOKUP(A71, Batteries!A:A, Batteries!E:E*Batteries!F:F)/1000</f>
        <v>52.25</v>
      </c>
      <c r="J71" s="2" t="e" cm="1">
        <f t="array" ref="J71">_xlfn.XLOOKUP(B71, Batteries!A:A, Batteries!E:E*Batteries!G:G)/1000</f>
        <v>#N/A</v>
      </c>
      <c r="K71" t="e">
        <f>C71/H71/Calculations!$B$6 + Calculations!$B$3</f>
        <v>#N/A</v>
      </c>
      <c r="L71" t="e">
        <f>(C71*Calculations!$B$7/H71/Calculations!$B$6)</f>
        <v>#N/A</v>
      </c>
      <c r="M71" t="e">
        <f>(C71*Calculations!$B$7/H71/Calculations!$B$6) + Calculations!$B$3</f>
        <v>#N/A</v>
      </c>
      <c r="N71" t="e">
        <f>_xlfn.XLOOKUP(B71, Batteries!A:A, Batteries!E:E)/1000*60/K71</f>
        <v>#N/A</v>
      </c>
      <c r="O71" t="e">
        <f>_xlfn.XLOOKUP(A71, Motors!A:A, Motors!F:F)*4+_xlfn.XLOOKUP('Results (DO NOT EDIT)'!B71, Batteries!A:A, Batteries!D:D)</f>
        <v>#N/A</v>
      </c>
    </row>
    <row r="72" spans="1:15" ht="15" customHeight="1">
      <c r="A72">
        <f>MOD(ROW()-2, Calculations!$B$8) + 1</f>
        <v>1</v>
      </c>
      <c r="B72">
        <f>INT((ROW()-2)/Calculations!$B$8) + 1</f>
        <v>36</v>
      </c>
      <c r="C72" t="e">
        <f>Calculations!$B$2+_xlfn.XLOOKUP(A72, Motors!A:A, Motors!D:D)*Calculations!$B$5+_xlfn.XLOOKUP(B72, Batteries!A:A, Batteries!C:C)</f>
        <v>#N/A</v>
      </c>
      <c r="D72" t="e">
        <f>C72*Calculations!$B$4/Calculations!$B$5</f>
        <v>#N/A</v>
      </c>
      <c r="E72" t="e">
        <f t="shared" si="1"/>
        <v>#N/A</v>
      </c>
      <c r="F72" s="2">
        <f>_xlfn.MAXIFS(Motors!$E$2:$E$75, Motors!$A$2:$A$75, A72)</f>
        <v>156.57</v>
      </c>
      <c r="G72" t="e" cm="1">
        <f t="array" ref="G72">INDEX(_xlfn._xlws.FILTER(Motors!$J$2:$J$75, Motors!$A$2:$A$75='Results (DO NOT EDIT)'!$A72), MATCH(TRUE, INDEX(ABS(_xlfn._xlws.FILTER(Motors!$G$2:$G$75, Motors!$A$2:$A$75='Results (DO NOT EDIT)'!$A72) - 'Results (DO NOT EDIT)'!$D72) = MIN(INDEX(ABS(_xlfn._xlws.FILTER(Motors!$G$2:$G$75, Motors!$A$2:$A$75='Results (DO NOT EDIT)'!$A72) - 'Results (DO NOT EDIT)'!$D72), 0)), 0), 0))</f>
        <v>#N/A</v>
      </c>
      <c r="H72" s="2" t="e" cm="1">
        <f t="array" ref="H72">INDEX(
  Motors!$I$2:$I$75,
  MATCH(1, (Motors!$A$2:$A$75='Results (DO NOT EDIT)'!A72)*(Motors!$J$2:$J$75='Results (DO NOT EDIT)'!G72), 0)
)</f>
        <v>#N/A</v>
      </c>
      <c r="I72" s="2" cm="1">
        <f t="array" ref="I72">_xlfn.XLOOKUP(A72, Batteries!A:A, Batteries!E:E*Batteries!F:F)/1000</f>
        <v>72</v>
      </c>
      <c r="J72" s="2" t="e" cm="1">
        <f t="array" ref="J72">_xlfn.XLOOKUP(B72, Batteries!A:A, Batteries!E:E*Batteries!G:G)/1000</f>
        <v>#N/A</v>
      </c>
      <c r="K72" t="e">
        <f>C72/H72/Calculations!$B$6 + Calculations!$B$3</f>
        <v>#N/A</v>
      </c>
      <c r="L72" t="e">
        <f>(C72*Calculations!$B$7/H72/Calculations!$B$6)</f>
        <v>#N/A</v>
      </c>
      <c r="M72" t="e">
        <f>(C72*Calculations!$B$7/H72/Calculations!$B$6) + Calculations!$B$3</f>
        <v>#N/A</v>
      </c>
      <c r="N72" t="e">
        <f>_xlfn.XLOOKUP(B72, Batteries!A:A, Batteries!E:E)/1000*60/K72</f>
        <v>#N/A</v>
      </c>
      <c r="O72" t="e">
        <f>_xlfn.XLOOKUP(A72, Motors!A:A, Motors!F:F)*4+_xlfn.XLOOKUP('Results (DO NOT EDIT)'!B72, Batteries!A:A, Batteries!D:D)</f>
        <v>#N/A</v>
      </c>
    </row>
    <row r="73" spans="1:15" ht="15" customHeight="1">
      <c r="A73">
        <f>MOD(ROW()-2, Calculations!$B$8) + 1</f>
        <v>2</v>
      </c>
      <c r="B73">
        <f>INT((ROW()-2)/Calculations!$B$8) + 1</f>
        <v>36</v>
      </c>
      <c r="C73" t="e">
        <f>Calculations!$B$2+_xlfn.XLOOKUP(A73, Motors!A:A, Motors!D:D)*Calculations!$B$5+_xlfn.XLOOKUP(B73, Batteries!A:A, Batteries!C:C)</f>
        <v>#N/A</v>
      </c>
      <c r="D73" t="e">
        <f>C73*Calculations!$B$4/Calculations!$B$5</f>
        <v>#N/A</v>
      </c>
      <c r="E73" t="e">
        <f t="shared" si="1"/>
        <v>#N/A</v>
      </c>
      <c r="F73" s="2">
        <f>_xlfn.MAXIFS(Motors!$E$2:$E$75, Motors!$A$2:$A$75, A73)</f>
        <v>115</v>
      </c>
      <c r="G73" t="e" cm="1">
        <f t="array" ref="G73">INDEX(_xlfn._xlws.FILTER(Motors!$J$2:$J$75, Motors!$A$2:$A$75='Results (DO NOT EDIT)'!$A73), MATCH(TRUE, INDEX(ABS(_xlfn._xlws.FILTER(Motors!$G$2:$G$75, Motors!$A$2:$A$75='Results (DO NOT EDIT)'!$A73) - 'Results (DO NOT EDIT)'!$D73) = MIN(INDEX(ABS(_xlfn._xlws.FILTER(Motors!$G$2:$G$75, Motors!$A$2:$A$75='Results (DO NOT EDIT)'!$A73) - 'Results (DO NOT EDIT)'!$D73), 0)), 0), 0))</f>
        <v>#N/A</v>
      </c>
      <c r="H73" s="2" t="e" cm="1">
        <f t="array" ref="H73">INDEX(
  Motors!$I$2:$I$75,
  MATCH(1, (Motors!$A$2:$A$75='Results (DO NOT EDIT)'!A73)*(Motors!$J$2:$J$75='Results (DO NOT EDIT)'!G73), 0)
)</f>
        <v>#N/A</v>
      </c>
      <c r="I73" s="2" cm="1">
        <f t="array" ref="I73">_xlfn.XLOOKUP(A73, Batteries!A:A, Batteries!E:E*Batteries!F:F)/1000</f>
        <v>52.25</v>
      </c>
      <c r="J73" s="2" t="e" cm="1">
        <f t="array" ref="J73">_xlfn.XLOOKUP(B73, Batteries!A:A, Batteries!E:E*Batteries!G:G)/1000</f>
        <v>#N/A</v>
      </c>
      <c r="K73" t="e">
        <f>C73/H73/Calculations!$B$6 + Calculations!$B$3</f>
        <v>#N/A</v>
      </c>
      <c r="L73" t="e">
        <f>(C73*Calculations!$B$7/H73/Calculations!$B$6)</f>
        <v>#N/A</v>
      </c>
      <c r="M73" t="e">
        <f>(C73*Calculations!$B$7/H73/Calculations!$B$6) + Calculations!$B$3</f>
        <v>#N/A</v>
      </c>
      <c r="N73" t="e">
        <f>_xlfn.XLOOKUP(B73, Batteries!A:A, Batteries!E:E)/1000*60/K73</f>
        <v>#N/A</v>
      </c>
      <c r="O73" t="e">
        <f>_xlfn.XLOOKUP(A73, Motors!A:A, Motors!F:F)*4+_xlfn.XLOOKUP('Results (DO NOT EDIT)'!B73, Batteries!A:A, Batteries!D:D)</f>
        <v>#N/A</v>
      </c>
    </row>
    <row r="74" spans="1:15" ht="15" customHeight="1">
      <c r="A74">
        <f>MOD(ROW()-2, Calculations!$B$8) + 1</f>
        <v>1</v>
      </c>
      <c r="B74">
        <f>INT((ROW()-2)/Calculations!$B$8) + 1</f>
        <v>37</v>
      </c>
      <c r="C74" t="e">
        <f>Calculations!$B$2+_xlfn.XLOOKUP(A74, Motors!A:A, Motors!D:D)*Calculations!$B$5+_xlfn.XLOOKUP(B74, Batteries!A:A, Batteries!C:C)</f>
        <v>#N/A</v>
      </c>
      <c r="D74" t="e">
        <f>C74*Calculations!$B$4/Calculations!$B$5</f>
        <v>#N/A</v>
      </c>
      <c r="E74" t="e">
        <f t="shared" si="1"/>
        <v>#N/A</v>
      </c>
      <c r="F74" s="2">
        <f>_xlfn.MAXIFS(Motors!$E$2:$E$75, Motors!$A$2:$A$75, A74)</f>
        <v>156.57</v>
      </c>
      <c r="G74" t="e" cm="1">
        <f t="array" ref="G74">INDEX(_xlfn._xlws.FILTER(Motors!$J$2:$J$75, Motors!$A$2:$A$75='Results (DO NOT EDIT)'!$A74), MATCH(TRUE, INDEX(ABS(_xlfn._xlws.FILTER(Motors!$G$2:$G$75, Motors!$A$2:$A$75='Results (DO NOT EDIT)'!$A74) - 'Results (DO NOT EDIT)'!$D74) = MIN(INDEX(ABS(_xlfn._xlws.FILTER(Motors!$G$2:$G$75, Motors!$A$2:$A$75='Results (DO NOT EDIT)'!$A74) - 'Results (DO NOT EDIT)'!$D74), 0)), 0), 0))</f>
        <v>#N/A</v>
      </c>
      <c r="H74" s="2" t="e" cm="1">
        <f t="array" ref="H74">INDEX(
  Motors!$I$2:$I$75,
  MATCH(1, (Motors!$A$2:$A$75='Results (DO NOT EDIT)'!A74)*(Motors!$J$2:$J$75='Results (DO NOT EDIT)'!G74), 0)
)</f>
        <v>#N/A</v>
      </c>
      <c r="I74" s="2" cm="1">
        <f t="array" ref="I74">_xlfn.XLOOKUP(A74, Batteries!A:A, Batteries!E:E*Batteries!F:F)/1000</f>
        <v>72</v>
      </c>
      <c r="J74" s="2" t="e" cm="1">
        <f t="array" ref="J74">_xlfn.XLOOKUP(B74, Batteries!A:A, Batteries!E:E*Batteries!G:G)/1000</f>
        <v>#N/A</v>
      </c>
      <c r="K74" t="e">
        <f>C74/H74/Calculations!$B$6 + Calculations!$B$3</f>
        <v>#N/A</v>
      </c>
      <c r="L74" t="e">
        <f>(C74*Calculations!$B$7/H74/Calculations!$B$6)</f>
        <v>#N/A</v>
      </c>
      <c r="M74" t="e">
        <f>(C74*Calculations!$B$7/H74/Calculations!$B$6) + Calculations!$B$3</f>
        <v>#N/A</v>
      </c>
      <c r="N74" t="e">
        <f>_xlfn.XLOOKUP(B74, Batteries!A:A, Batteries!E:E)/1000*60/K74</f>
        <v>#N/A</v>
      </c>
      <c r="O74" t="e">
        <f>_xlfn.XLOOKUP(A74, Motors!A:A, Motors!F:F)*4+_xlfn.XLOOKUP('Results (DO NOT EDIT)'!B74, Batteries!A:A, Batteries!D:D)</f>
        <v>#N/A</v>
      </c>
    </row>
    <row r="75" spans="1:15" ht="15" customHeight="1">
      <c r="A75">
        <f>MOD(ROW()-2, Calculations!$B$8) + 1</f>
        <v>2</v>
      </c>
      <c r="B75">
        <f>INT((ROW()-2)/Calculations!$B$8) + 1</f>
        <v>37</v>
      </c>
      <c r="C75" t="e">
        <f>Calculations!$B$2+_xlfn.XLOOKUP(A75, Motors!A:A, Motors!D:D)*Calculations!$B$5+_xlfn.XLOOKUP(B75, Batteries!A:A, Batteries!C:C)</f>
        <v>#N/A</v>
      </c>
      <c r="D75" t="e">
        <f>C75*Calculations!$B$4/Calculations!$B$5</f>
        <v>#N/A</v>
      </c>
      <c r="E75" t="e">
        <f t="shared" si="1"/>
        <v>#N/A</v>
      </c>
      <c r="F75" s="2">
        <f>_xlfn.MAXIFS(Motors!$E$2:$E$75, Motors!$A$2:$A$75, A75)</f>
        <v>115</v>
      </c>
      <c r="G75" t="e" cm="1">
        <f t="array" ref="G75">INDEX(_xlfn._xlws.FILTER(Motors!$J$2:$J$75, Motors!$A$2:$A$75='Results (DO NOT EDIT)'!$A75), MATCH(TRUE, INDEX(ABS(_xlfn._xlws.FILTER(Motors!$G$2:$G$75, Motors!$A$2:$A$75='Results (DO NOT EDIT)'!$A75) - 'Results (DO NOT EDIT)'!$D75) = MIN(INDEX(ABS(_xlfn._xlws.FILTER(Motors!$G$2:$G$75, Motors!$A$2:$A$75='Results (DO NOT EDIT)'!$A75) - 'Results (DO NOT EDIT)'!$D75), 0)), 0), 0))</f>
        <v>#N/A</v>
      </c>
      <c r="H75" s="2" t="e" cm="1">
        <f t="array" ref="H75">INDEX(
  Motors!$I$2:$I$75,
  MATCH(1, (Motors!$A$2:$A$75='Results (DO NOT EDIT)'!A75)*(Motors!$J$2:$J$75='Results (DO NOT EDIT)'!G75), 0)
)</f>
        <v>#N/A</v>
      </c>
      <c r="I75" s="2" cm="1">
        <f t="array" ref="I75">_xlfn.XLOOKUP(A75, Batteries!A:A, Batteries!E:E*Batteries!F:F)/1000</f>
        <v>52.25</v>
      </c>
      <c r="J75" s="2" t="e" cm="1">
        <f t="array" ref="J75">_xlfn.XLOOKUP(B75, Batteries!A:A, Batteries!E:E*Batteries!G:G)/1000</f>
        <v>#N/A</v>
      </c>
      <c r="K75" t="e">
        <f>C75/H75/Calculations!$B$6 + Calculations!$B$3</f>
        <v>#N/A</v>
      </c>
      <c r="L75" t="e">
        <f>(C75*Calculations!$B$7/H75/Calculations!$B$6)</f>
        <v>#N/A</v>
      </c>
      <c r="M75" t="e">
        <f>(C75*Calculations!$B$7/H75/Calculations!$B$6) + Calculations!$B$3</f>
        <v>#N/A</v>
      </c>
      <c r="N75" t="e">
        <f>_xlfn.XLOOKUP(B75, Batteries!A:A, Batteries!E:E)/1000*60/K75</f>
        <v>#N/A</v>
      </c>
      <c r="O75" t="e">
        <f>_xlfn.XLOOKUP(A75, Motors!A:A, Motors!F:F)*4+_xlfn.XLOOKUP('Results (DO NOT EDIT)'!B75, Batteries!A:A, Batteries!D:D)</f>
        <v>#N/A</v>
      </c>
    </row>
    <row r="76" spans="1:15" ht="15" customHeight="1">
      <c r="A76">
        <f>MOD(ROW()-2, Calculations!$B$8) + 1</f>
        <v>1</v>
      </c>
      <c r="B76">
        <f>INT((ROW()-2)/Calculations!$B$8) + 1</f>
        <v>38</v>
      </c>
      <c r="C76" t="e">
        <f>Calculations!$B$2+_xlfn.XLOOKUP(A76, Motors!A:A, Motors!D:D)*Calculations!$B$5+_xlfn.XLOOKUP(B76, Batteries!A:A, Batteries!C:C)</f>
        <v>#N/A</v>
      </c>
      <c r="D76" t="e">
        <f>C76*Calculations!$B$4/Calculations!$B$5</f>
        <v>#N/A</v>
      </c>
      <c r="E76" t="e">
        <f t="shared" si="1"/>
        <v>#N/A</v>
      </c>
      <c r="F76" s="2">
        <f>_xlfn.MAXIFS(Motors!$E$2:$E$75, Motors!$A$2:$A$75, A76)</f>
        <v>156.57</v>
      </c>
      <c r="G76" t="e" cm="1">
        <f t="array" ref="G76">INDEX(_xlfn._xlws.FILTER(Motors!$J$2:$J$75, Motors!$A$2:$A$75='Results (DO NOT EDIT)'!$A76), MATCH(TRUE, INDEX(ABS(_xlfn._xlws.FILTER(Motors!$G$2:$G$75, Motors!$A$2:$A$75='Results (DO NOT EDIT)'!$A76) - 'Results (DO NOT EDIT)'!$D76) = MIN(INDEX(ABS(_xlfn._xlws.FILTER(Motors!$G$2:$G$75, Motors!$A$2:$A$75='Results (DO NOT EDIT)'!$A76) - 'Results (DO NOT EDIT)'!$D76), 0)), 0), 0))</f>
        <v>#N/A</v>
      </c>
      <c r="H76" s="2" t="e" cm="1">
        <f t="array" ref="H76">INDEX(
  Motors!$I$2:$I$75,
  MATCH(1, (Motors!$A$2:$A$75='Results (DO NOT EDIT)'!A76)*(Motors!$J$2:$J$75='Results (DO NOT EDIT)'!G76), 0)
)</f>
        <v>#N/A</v>
      </c>
      <c r="I76" s="2" cm="1">
        <f t="array" ref="I76">_xlfn.XLOOKUP(A76, Batteries!A:A, Batteries!E:E*Batteries!F:F)/1000</f>
        <v>72</v>
      </c>
      <c r="J76" s="2" t="e" cm="1">
        <f t="array" ref="J76">_xlfn.XLOOKUP(B76, Batteries!A:A, Batteries!E:E*Batteries!G:G)/1000</f>
        <v>#N/A</v>
      </c>
      <c r="K76" t="e">
        <f>C76/H76/Calculations!$B$6 + Calculations!$B$3</f>
        <v>#N/A</v>
      </c>
      <c r="L76" t="e">
        <f>(C76*Calculations!$B$7/H76/Calculations!$B$6)</f>
        <v>#N/A</v>
      </c>
      <c r="M76" t="e">
        <f>(C76*Calculations!$B$7/H76/Calculations!$B$6) + Calculations!$B$3</f>
        <v>#N/A</v>
      </c>
      <c r="N76" t="e">
        <f>_xlfn.XLOOKUP(B76, Batteries!A:A, Batteries!E:E)/1000*60/K76</f>
        <v>#N/A</v>
      </c>
      <c r="O76" t="e">
        <f>_xlfn.XLOOKUP(A76, Motors!A:A, Motors!F:F)*4+_xlfn.XLOOKUP('Results (DO NOT EDIT)'!B76, Batteries!A:A, Batteries!D:D)</f>
        <v>#N/A</v>
      </c>
    </row>
    <row r="77" spans="1:15" ht="15" customHeight="1">
      <c r="A77">
        <f>MOD(ROW()-2, Calculations!$B$8) + 1</f>
        <v>2</v>
      </c>
      <c r="B77">
        <f>INT((ROW()-2)/Calculations!$B$8) + 1</f>
        <v>38</v>
      </c>
      <c r="C77" t="e">
        <f>Calculations!$B$2+_xlfn.XLOOKUP(A77, Motors!A:A, Motors!D:D)*Calculations!$B$5+_xlfn.XLOOKUP(B77, Batteries!A:A, Batteries!C:C)</f>
        <v>#N/A</v>
      </c>
      <c r="D77" t="e">
        <f>C77*Calculations!$B$4/Calculations!$B$5</f>
        <v>#N/A</v>
      </c>
      <c r="E77" t="e">
        <f t="shared" si="1"/>
        <v>#N/A</v>
      </c>
      <c r="F77" s="2">
        <f>_xlfn.MAXIFS(Motors!$E$2:$E$75, Motors!$A$2:$A$75, A77)</f>
        <v>115</v>
      </c>
      <c r="G77" t="e" cm="1">
        <f t="array" ref="G77">INDEX(_xlfn._xlws.FILTER(Motors!$J$2:$J$75, Motors!$A$2:$A$75='Results (DO NOT EDIT)'!$A77), MATCH(TRUE, INDEX(ABS(_xlfn._xlws.FILTER(Motors!$G$2:$G$75, Motors!$A$2:$A$75='Results (DO NOT EDIT)'!$A77) - 'Results (DO NOT EDIT)'!$D77) = MIN(INDEX(ABS(_xlfn._xlws.FILTER(Motors!$G$2:$G$75, Motors!$A$2:$A$75='Results (DO NOT EDIT)'!$A77) - 'Results (DO NOT EDIT)'!$D77), 0)), 0), 0))</f>
        <v>#N/A</v>
      </c>
      <c r="H77" s="2" t="e" cm="1">
        <f t="array" ref="H77">INDEX(
  Motors!$I$2:$I$75,
  MATCH(1, (Motors!$A$2:$A$75='Results (DO NOT EDIT)'!A77)*(Motors!$J$2:$J$75='Results (DO NOT EDIT)'!G77), 0)
)</f>
        <v>#N/A</v>
      </c>
      <c r="I77" s="2" cm="1">
        <f t="array" ref="I77">_xlfn.XLOOKUP(A77, Batteries!A:A, Batteries!E:E*Batteries!F:F)/1000</f>
        <v>52.25</v>
      </c>
      <c r="J77" s="2" t="e" cm="1">
        <f t="array" ref="J77">_xlfn.XLOOKUP(B77, Batteries!A:A, Batteries!E:E*Batteries!G:G)/1000</f>
        <v>#N/A</v>
      </c>
      <c r="K77" t="e">
        <f>C77/H77/Calculations!$B$6 + Calculations!$B$3</f>
        <v>#N/A</v>
      </c>
      <c r="L77" t="e">
        <f>(C77*Calculations!$B$7/H77/Calculations!$B$6)</f>
        <v>#N/A</v>
      </c>
      <c r="M77" t="e">
        <f>(C77*Calculations!$B$7/H77/Calculations!$B$6) + Calculations!$B$3</f>
        <v>#N/A</v>
      </c>
      <c r="N77" t="e">
        <f>_xlfn.XLOOKUP(B77, Batteries!A:A, Batteries!E:E)/1000*60/K77</f>
        <v>#N/A</v>
      </c>
      <c r="O77" t="e">
        <f>_xlfn.XLOOKUP(A77, Motors!A:A, Motors!F:F)*4+_xlfn.XLOOKUP('Results (DO NOT EDIT)'!B77, Batteries!A:A, Batteries!D:D)</f>
        <v>#N/A</v>
      </c>
    </row>
    <row r="78" spans="1:15" ht="15" customHeight="1">
      <c r="A78">
        <f>MOD(ROW()-2, Calculations!$B$8) + 1</f>
        <v>1</v>
      </c>
      <c r="B78">
        <f>INT((ROW()-2)/Calculations!$B$8) + 1</f>
        <v>39</v>
      </c>
      <c r="C78" t="e">
        <f>Calculations!$B$2+_xlfn.XLOOKUP(A78, Motors!A:A, Motors!D:D)*Calculations!$B$5+_xlfn.XLOOKUP(B78, Batteries!A:A, Batteries!C:C)</f>
        <v>#N/A</v>
      </c>
      <c r="D78" t="e">
        <f>C78*Calculations!$B$4/Calculations!$B$5</f>
        <v>#N/A</v>
      </c>
      <c r="E78" t="e">
        <f t="shared" si="1"/>
        <v>#N/A</v>
      </c>
      <c r="F78" s="2">
        <f>_xlfn.MAXIFS(Motors!$E$2:$E$75, Motors!$A$2:$A$75, A78)</f>
        <v>156.57</v>
      </c>
      <c r="G78" t="e" cm="1">
        <f t="array" ref="G78">INDEX(_xlfn._xlws.FILTER(Motors!$J$2:$J$75, Motors!$A$2:$A$75='Results (DO NOT EDIT)'!$A78), MATCH(TRUE, INDEX(ABS(_xlfn._xlws.FILTER(Motors!$G$2:$G$75, Motors!$A$2:$A$75='Results (DO NOT EDIT)'!$A78) - 'Results (DO NOT EDIT)'!$D78) = MIN(INDEX(ABS(_xlfn._xlws.FILTER(Motors!$G$2:$G$75, Motors!$A$2:$A$75='Results (DO NOT EDIT)'!$A78) - 'Results (DO NOT EDIT)'!$D78), 0)), 0), 0))</f>
        <v>#N/A</v>
      </c>
      <c r="H78" s="2" t="e" cm="1">
        <f t="array" ref="H78">INDEX(
  Motors!$I$2:$I$75,
  MATCH(1, (Motors!$A$2:$A$75='Results (DO NOT EDIT)'!A78)*(Motors!$J$2:$J$75='Results (DO NOT EDIT)'!G78), 0)
)</f>
        <v>#N/A</v>
      </c>
      <c r="I78" s="2" cm="1">
        <f t="array" ref="I78">_xlfn.XLOOKUP(A78, Batteries!A:A, Batteries!E:E*Batteries!F:F)/1000</f>
        <v>72</v>
      </c>
      <c r="J78" s="2" t="e" cm="1">
        <f t="array" ref="J78">_xlfn.XLOOKUP(B78, Batteries!A:A, Batteries!E:E*Batteries!G:G)/1000</f>
        <v>#N/A</v>
      </c>
      <c r="K78" t="e">
        <f>C78/H78/Calculations!$B$6 + Calculations!$B$3</f>
        <v>#N/A</v>
      </c>
      <c r="L78" t="e">
        <f>(C78*Calculations!$B$7/H78/Calculations!$B$6)</f>
        <v>#N/A</v>
      </c>
      <c r="M78" t="e">
        <f>(C78*Calculations!$B$7/H78/Calculations!$B$6) + Calculations!$B$3</f>
        <v>#N/A</v>
      </c>
      <c r="N78" t="e">
        <f>_xlfn.XLOOKUP(B78, Batteries!A:A, Batteries!E:E)/1000*60/K78</f>
        <v>#N/A</v>
      </c>
      <c r="O78" t="e">
        <f>_xlfn.XLOOKUP(A78, Motors!A:A, Motors!F:F)*4+_xlfn.XLOOKUP('Results (DO NOT EDIT)'!B78, Batteries!A:A, Batteries!D:D)</f>
        <v>#N/A</v>
      </c>
    </row>
    <row r="79" spans="1:15" ht="15" customHeight="1">
      <c r="A79">
        <f>MOD(ROW()-2, Calculations!$B$8) + 1</f>
        <v>2</v>
      </c>
      <c r="B79">
        <f>INT((ROW()-2)/Calculations!$B$8) + 1</f>
        <v>39</v>
      </c>
      <c r="C79" t="e">
        <f>Calculations!$B$2+_xlfn.XLOOKUP(A79, Motors!A:A, Motors!D:D)*Calculations!$B$5+_xlfn.XLOOKUP(B79, Batteries!A:A, Batteries!C:C)</f>
        <v>#N/A</v>
      </c>
      <c r="D79" t="e">
        <f>C79*Calculations!$B$4/Calculations!$B$5</f>
        <v>#N/A</v>
      </c>
      <c r="E79" t="e">
        <f t="shared" si="1"/>
        <v>#N/A</v>
      </c>
      <c r="F79" s="2">
        <f>_xlfn.MAXIFS(Motors!$E$2:$E$75, Motors!$A$2:$A$75, A79)</f>
        <v>115</v>
      </c>
      <c r="G79" t="e" cm="1">
        <f t="array" ref="G79">INDEX(_xlfn._xlws.FILTER(Motors!$J$2:$J$75, Motors!$A$2:$A$75='Results (DO NOT EDIT)'!$A79), MATCH(TRUE, INDEX(ABS(_xlfn._xlws.FILTER(Motors!$G$2:$G$75, Motors!$A$2:$A$75='Results (DO NOT EDIT)'!$A79) - 'Results (DO NOT EDIT)'!$D79) = MIN(INDEX(ABS(_xlfn._xlws.FILTER(Motors!$G$2:$G$75, Motors!$A$2:$A$75='Results (DO NOT EDIT)'!$A79) - 'Results (DO NOT EDIT)'!$D79), 0)), 0), 0))</f>
        <v>#N/A</v>
      </c>
      <c r="H79" s="2" t="e" cm="1">
        <f t="array" ref="H79">INDEX(
  Motors!$I$2:$I$75,
  MATCH(1, (Motors!$A$2:$A$75='Results (DO NOT EDIT)'!A79)*(Motors!$J$2:$J$75='Results (DO NOT EDIT)'!G79), 0)
)</f>
        <v>#N/A</v>
      </c>
      <c r="I79" s="2" cm="1">
        <f t="array" ref="I79">_xlfn.XLOOKUP(A79, Batteries!A:A, Batteries!E:E*Batteries!F:F)/1000</f>
        <v>52.25</v>
      </c>
      <c r="J79" s="2" t="e" cm="1">
        <f t="array" ref="J79">_xlfn.XLOOKUP(B79, Batteries!A:A, Batteries!E:E*Batteries!G:G)/1000</f>
        <v>#N/A</v>
      </c>
      <c r="K79" t="e">
        <f>C79/H79/Calculations!$B$6 + Calculations!$B$3</f>
        <v>#N/A</v>
      </c>
      <c r="L79" t="e">
        <f>(C79*Calculations!$B$7/H79/Calculations!$B$6)</f>
        <v>#N/A</v>
      </c>
      <c r="M79" t="e">
        <f>(C79*Calculations!$B$7/H79/Calculations!$B$6) + Calculations!$B$3</f>
        <v>#N/A</v>
      </c>
      <c r="N79" t="e">
        <f>_xlfn.XLOOKUP(B79, Batteries!A:A, Batteries!E:E)/1000*60/K79</f>
        <v>#N/A</v>
      </c>
      <c r="O79" t="e">
        <f>_xlfn.XLOOKUP(A79, Motors!A:A, Motors!F:F)*4+_xlfn.XLOOKUP('Results (DO NOT EDIT)'!B79, Batteries!A:A, Batteries!D:D)</f>
        <v>#N/A</v>
      </c>
    </row>
    <row r="80" spans="1:15" ht="15" customHeight="1">
      <c r="A80">
        <f>MOD(ROW()-2, Calculations!$B$8) + 1</f>
        <v>1</v>
      </c>
      <c r="B80">
        <f>INT((ROW()-2)/Calculations!$B$8) + 1</f>
        <v>40</v>
      </c>
      <c r="C80" t="e">
        <f>Calculations!$B$2+_xlfn.XLOOKUP(A80, Motors!A:A, Motors!D:D)*Calculations!$B$5+_xlfn.XLOOKUP(B80, Batteries!A:A, Batteries!C:C)</f>
        <v>#N/A</v>
      </c>
      <c r="D80" t="e">
        <f>C80*Calculations!$B$4/Calculations!$B$5</f>
        <v>#N/A</v>
      </c>
      <c r="E80" t="e">
        <f t="shared" si="1"/>
        <v>#N/A</v>
      </c>
      <c r="F80" s="2">
        <f>_xlfn.MAXIFS(Motors!$E$2:$E$75, Motors!$A$2:$A$75, A80)</f>
        <v>156.57</v>
      </c>
      <c r="G80" t="e" cm="1">
        <f t="array" ref="G80">INDEX(_xlfn._xlws.FILTER(Motors!$J$2:$J$75, Motors!$A$2:$A$75='Results (DO NOT EDIT)'!$A80), MATCH(TRUE, INDEX(ABS(_xlfn._xlws.FILTER(Motors!$G$2:$G$75, Motors!$A$2:$A$75='Results (DO NOT EDIT)'!$A80) - 'Results (DO NOT EDIT)'!$D80) = MIN(INDEX(ABS(_xlfn._xlws.FILTER(Motors!$G$2:$G$75, Motors!$A$2:$A$75='Results (DO NOT EDIT)'!$A80) - 'Results (DO NOT EDIT)'!$D80), 0)), 0), 0))</f>
        <v>#N/A</v>
      </c>
      <c r="H80" s="2" t="e" cm="1">
        <f t="array" ref="H80">INDEX(
  Motors!$I$2:$I$75,
  MATCH(1, (Motors!$A$2:$A$75='Results (DO NOT EDIT)'!A80)*(Motors!$J$2:$J$75='Results (DO NOT EDIT)'!G80), 0)
)</f>
        <v>#N/A</v>
      </c>
      <c r="I80" s="2" cm="1">
        <f t="array" ref="I80">_xlfn.XLOOKUP(A80, Batteries!A:A, Batteries!E:E*Batteries!F:F)/1000</f>
        <v>72</v>
      </c>
      <c r="J80" s="2" t="e" cm="1">
        <f t="array" ref="J80">_xlfn.XLOOKUP(B80, Batteries!A:A, Batteries!E:E*Batteries!G:G)/1000</f>
        <v>#N/A</v>
      </c>
      <c r="K80" t="e">
        <f>C80/H80/Calculations!$B$6 + Calculations!$B$3</f>
        <v>#N/A</v>
      </c>
      <c r="L80" t="e">
        <f>(C80*Calculations!$B$7/H80/Calculations!$B$6)</f>
        <v>#N/A</v>
      </c>
      <c r="M80" t="e">
        <f>(C80*Calculations!$B$7/H80/Calculations!$B$6) + Calculations!$B$3</f>
        <v>#N/A</v>
      </c>
      <c r="N80" t="e">
        <f>_xlfn.XLOOKUP(B80, Batteries!A:A, Batteries!E:E)/1000*60/K80</f>
        <v>#N/A</v>
      </c>
      <c r="O80" t="e">
        <f>_xlfn.XLOOKUP(A80, Motors!A:A, Motors!F:F)*4+_xlfn.XLOOKUP('Results (DO NOT EDIT)'!B80, Batteries!A:A, Batteries!D:D)</f>
        <v>#N/A</v>
      </c>
    </row>
    <row r="81" spans="1:15" ht="15" customHeight="1">
      <c r="A81">
        <f>MOD(ROW()-2, Calculations!$B$8) + 1</f>
        <v>2</v>
      </c>
      <c r="B81">
        <f>INT((ROW()-2)/Calculations!$B$8) + 1</f>
        <v>40</v>
      </c>
      <c r="C81" t="e">
        <f>Calculations!$B$2+_xlfn.XLOOKUP(A81, Motors!A:A, Motors!D:D)*Calculations!$B$5+_xlfn.XLOOKUP(B81, Batteries!A:A, Batteries!C:C)</f>
        <v>#N/A</v>
      </c>
      <c r="D81" t="e">
        <f>C81*Calculations!$B$4/Calculations!$B$5</f>
        <v>#N/A</v>
      </c>
      <c r="E81" t="e">
        <f t="shared" si="1"/>
        <v>#N/A</v>
      </c>
      <c r="F81" s="2">
        <f>_xlfn.MAXIFS(Motors!$E$2:$E$75, Motors!$A$2:$A$75, A81)</f>
        <v>115</v>
      </c>
      <c r="G81" t="e" cm="1">
        <f t="array" ref="G81">INDEX(_xlfn._xlws.FILTER(Motors!$J$2:$J$75, Motors!$A$2:$A$75='Results (DO NOT EDIT)'!$A81), MATCH(TRUE, INDEX(ABS(_xlfn._xlws.FILTER(Motors!$G$2:$G$75, Motors!$A$2:$A$75='Results (DO NOT EDIT)'!$A81) - 'Results (DO NOT EDIT)'!$D81) = MIN(INDEX(ABS(_xlfn._xlws.FILTER(Motors!$G$2:$G$75, Motors!$A$2:$A$75='Results (DO NOT EDIT)'!$A81) - 'Results (DO NOT EDIT)'!$D81), 0)), 0), 0))</f>
        <v>#N/A</v>
      </c>
      <c r="H81" s="2" t="e" cm="1">
        <f t="array" ref="H81">INDEX(
  Motors!$I$2:$I$75,
  MATCH(1, (Motors!$A$2:$A$75='Results (DO NOT EDIT)'!A81)*(Motors!$J$2:$J$75='Results (DO NOT EDIT)'!G81), 0)
)</f>
        <v>#N/A</v>
      </c>
      <c r="I81" s="2" cm="1">
        <f t="array" ref="I81">_xlfn.XLOOKUP(A81, Batteries!A:A, Batteries!E:E*Batteries!F:F)/1000</f>
        <v>52.25</v>
      </c>
      <c r="J81" s="2" t="e" cm="1">
        <f t="array" ref="J81">_xlfn.XLOOKUP(B81, Batteries!A:A, Batteries!E:E*Batteries!G:G)/1000</f>
        <v>#N/A</v>
      </c>
      <c r="K81" t="e">
        <f>C81/H81/Calculations!$B$6 + Calculations!$B$3</f>
        <v>#N/A</v>
      </c>
      <c r="L81" t="e">
        <f>(C81*Calculations!$B$7/H81/Calculations!$B$6)</f>
        <v>#N/A</v>
      </c>
      <c r="M81" t="e">
        <f>(C81*Calculations!$B$7/H81/Calculations!$B$6) + Calculations!$B$3</f>
        <v>#N/A</v>
      </c>
      <c r="N81" t="e">
        <f>_xlfn.XLOOKUP(B81, Batteries!A:A, Batteries!E:E)/1000*60/K81</f>
        <v>#N/A</v>
      </c>
      <c r="O81" t="e">
        <f>_xlfn.XLOOKUP(A81, Motors!A:A, Motors!F:F)*4+_xlfn.XLOOKUP('Results (DO NOT EDIT)'!B81, Batteries!A:A, Batteries!D:D)</f>
        <v>#N/A</v>
      </c>
    </row>
    <row r="82" spans="1:15" ht="15" customHeight="1">
      <c r="A82">
        <f>MOD(ROW()-2, Calculations!$B$8) + 1</f>
        <v>1</v>
      </c>
      <c r="B82">
        <f>INT((ROW()-2)/Calculations!$B$8) + 1</f>
        <v>41</v>
      </c>
      <c r="C82" t="e">
        <f>Calculations!$B$2+_xlfn.XLOOKUP(A82, Motors!A:A, Motors!D:D)*Calculations!$B$5+_xlfn.XLOOKUP(B82, Batteries!A:A, Batteries!C:C)</f>
        <v>#N/A</v>
      </c>
      <c r="D82" t="e">
        <f>C82*Calculations!$B$4/Calculations!$B$5</f>
        <v>#N/A</v>
      </c>
      <c r="E82" t="e">
        <f t="shared" si="1"/>
        <v>#N/A</v>
      </c>
      <c r="F82" s="2">
        <f>_xlfn.MAXIFS(Motors!$E$2:$E$75, Motors!$A$2:$A$75, A82)</f>
        <v>156.57</v>
      </c>
      <c r="G82" t="e" cm="1">
        <f t="array" ref="G82">INDEX(_xlfn._xlws.FILTER(Motors!$J$2:$J$75, Motors!$A$2:$A$75='Results (DO NOT EDIT)'!$A82), MATCH(TRUE, INDEX(ABS(_xlfn._xlws.FILTER(Motors!$G$2:$G$75, Motors!$A$2:$A$75='Results (DO NOT EDIT)'!$A82) - 'Results (DO NOT EDIT)'!$D82) = MIN(INDEX(ABS(_xlfn._xlws.FILTER(Motors!$G$2:$G$75, Motors!$A$2:$A$75='Results (DO NOT EDIT)'!$A82) - 'Results (DO NOT EDIT)'!$D82), 0)), 0), 0))</f>
        <v>#N/A</v>
      </c>
      <c r="H82" s="2" t="e" cm="1">
        <f t="array" ref="H82">INDEX(
  Motors!$I$2:$I$75,
  MATCH(1, (Motors!$A$2:$A$75='Results (DO NOT EDIT)'!A82)*(Motors!$J$2:$J$75='Results (DO NOT EDIT)'!G82), 0)
)</f>
        <v>#N/A</v>
      </c>
      <c r="I82" s="2" cm="1">
        <f t="array" ref="I82">_xlfn.XLOOKUP(A82, Batteries!A:A, Batteries!E:E*Batteries!F:F)/1000</f>
        <v>72</v>
      </c>
      <c r="J82" s="2" t="e" cm="1">
        <f t="array" ref="J82">_xlfn.XLOOKUP(B82, Batteries!A:A, Batteries!E:E*Batteries!G:G)/1000</f>
        <v>#N/A</v>
      </c>
      <c r="K82" t="e">
        <f>C82/H82/Calculations!$B$6 + Calculations!$B$3</f>
        <v>#N/A</v>
      </c>
      <c r="L82" t="e">
        <f>(C82*Calculations!$B$7/H82/Calculations!$B$6)</f>
        <v>#N/A</v>
      </c>
      <c r="M82" t="e">
        <f>(C82*Calculations!$B$7/H82/Calculations!$B$6) + Calculations!$B$3</f>
        <v>#N/A</v>
      </c>
      <c r="N82" t="e">
        <f>_xlfn.XLOOKUP(B82, Batteries!A:A, Batteries!E:E)/1000*60/K82</f>
        <v>#N/A</v>
      </c>
      <c r="O82" t="e">
        <f>_xlfn.XLOOKUP(A82, Motors!A:A, Motors!F:F)*4+_xlfn.XLOOKUP('Results (DO NOT EDIT)'!B82, Batteries!A:A, Batteries!D:D)</f>
        <v>#N/A</v>
      </c>
    </row>
    <row r="83" spans="1:15" ht="15" customHeight="1">
      <c r="A83">
        <f>MOD(ROW()-2, Calculations!$B$8) + 1</f>
        <v>2</v>
      </c>
      <c r="B83">
        <f>INT((ROW()-2)/Calculations!$B$8) + 1</f>
        <v>41</v>
      </c>
      <c r="C83" t="e">
        <f>Calculations!$B$2+_xlfn.XLOOKUP(A83, Motors!A:A, Motors!D:D)*Calculations!$B$5+_xlfn.XLOOKUP(B83, Batteries!A:A, Batteries!C:C)</f>
        <v>#N/A</v>
      </c>
      <c r="D83" t="e">
        <f>C83*Calculations!$B$4/Calculations!$B$5</f>
        <v>#N/A</v>
      </c>
      <c r="E83" t="e">
        <f t="shared" si="1"/>
        <v>#N/A</v>
      </c>
      <c r="F83" s="2">
        <f>_xlfn.MAXIFS(Motors!$E$2:$E$75, Motors!$A$2:$A$75, A83)</f>
        <v>115</v>
      </c>
      <c r="G83" t="e" cm="1">
        <f t="array" ref="G83">INDEX(_xlfn._xlws.FILTER(Motors!$J$2:$J$75, Motors!$A$2:$A$75='Results (DO NOT EDIT)'!$A83), MATCH(TRUE, INDEX(ABS(_xlfn._xlws.FILTER(Motors!$G$2:$G$75, Motors!$A$2:$A$75='Results (DO NOT EDIT)'!$A83) - 'Results (DO NOT EDIT)'!$D83) = MIN(INDEX(ABS(_xlfn._xlws.FILTER(Motors!$G$2:$G$75, Motors!$A$2:$A$75='Results (DO NOT EDIT)'!$A83) - 'Results (DO NOT EDIT)'!$D83), 0)), 0), 0))</f>
        <v>#N/A</v>
      </c>
      <c r="H83" s="2" t="e" cm="1">
        <f t="array" ref="H83">INDEX(
  Motors!$I$2:$I$75,
  MATCH(1, (Motors!$A$2:$A$75='Results (DO NOT EDIT)'!A83)*(Motors!$J$2:$J$75='Results (DO NOT EDIT)'!G83), 0)
)</f>
        <v>#N/A</v>
      </c>
      <c r="I83" s="2" cm="1">
        <f t="array" ref="I83">_xlfn.XLOOKUP(A83, Batteries!A:A, Batteries!E:E*Batteries!F:F)/1000</f>
        <v>52.25</v>
      </c>
      <c r="J83" s="2" t="e" cm="1">
        <f t="array" ref="J83">_xlfn.XLOOKUP(B83, Batteries!A:A, Batteries!E:E*Batteries!G:G)/1000</f>
        <v>#N/A</v>
      </c>
      <c r="K83" t="e">
        <f>C83/H83/Calculations!$B$6 + Calculations!$B$3</f>
        <v>#N/A</v>
      </c>
      <c r="L83" t="e">
        <f>(C83*Calculations!$B$7/H83/Calculations!$B$6)</f>
        <v>#N/A</v>
      </c>
      <c r="M83" t="e">
        <f>(C83*Calculations!$B$7/H83/Calculations!$B$6) + Calculations!$B$3</f>
        <v>#N/A</v>
      </c>
      <c r="N83" t="e">
        <f>_xlfn.XLOOKUP(B83, Batteries!A:A, Batteries!E:E)/1000*60/K83</f>
        <v>#N/A</v>
      </c>
      <c r="O83" t="e">
        <f>_xlfn.XLOOKUP(A83, Motors!A:A, Motors!F:F)*4+_xlfn.XLOOKUP('Results (DO NOT EDIT)'!B83, Batteries!A:A, Batteries!D:D)</f>
        <v>#N/A</v>
      </c>
    </row>
    <row r="84" spans="1:15" ht="15" customHeight="1">
      <c r="A84">
        <f>MOD(ROW()-2, Calculations!$B$8) + 1</f>
        <v>1</v>
      </c>
      <c r="B84">
        <f>INT((ROW()-2)/Calculations!$B$8) + 1</f>
        <v>42</v>
      </c>
      <c r="C84" t="e">
        <f>Calculations!$B$2+_xlfn.XLOOKUP(A84, Motors!A:A, Motors!D:D)*Calculations!$B$5+_xlfn.XLOOKUP(B84, Batteries!A:A, Batteries!C:C)</f>
        <v>#N/A</v>
      </c>
      <c r="D84" t="e">
        <f>C84*Calculations!$B$4/Calculations!$B$5</f>
        <v>#N/A</v>
      </c>
      <c r="E84" t="e">
        <f t="shared" si="1"/>
        <v>#N/A</v>
      </c>
      <c r="F84" s="2">
        <f>_xlfn.MAXIFS(Motors!$E$2:$E$75, Motors!$A$2:$A$75, A84)</f>
        <v>156.57</v>
      </c>
      <c r="G84" t="e" cm="1">
        <f t="array" ref="G84">INDEX(_xlfn._xlws.FILTER(Motors!$J$2:$J$75, Motors!$A$2:$A$75='Results (DO NOT EDIT)'!$A84), MATCH(TRUE, INDEX(ABS(_xlfn._xlws.FILTER(Motors!$G$2:$G$75, Motors!$A$2:$A$75='Results (DO NOT EDIT)'!$A84) - 'Results (DO NOT EDIT)'!$D84) = MIN(INDEX(ABS(_xlfn._xlws.FILTER(Motors!$G$2:$G$75, Motors!$A$2:$A$75='Results (DO NOT EDIT)'!$A84) - 'Results (DO NOT EDIT)'!$D84), 0)), 0), 0))</f>
        <v>#N/A</v>
      </c>
      <c r="H84" s="2" t="e" cm="1">
        <f t="array" ref="H84">INDEX(
  Motors!$I$2:$I$75,
  MATCH(1, (Motors!$A$2:$A$75='Results (DO NOT EDIT)'!A84)*(Motors!$J$2:$J$75='Results (DO NOT EDIT)'!G84), 0)
)</f>
        <v>#N/A</v>
      </c>
      <c r="I84" s="2" cm="1">
        <f t="array" ref="I84">_xlfn.XLOOKUP(A84, Batteries!A:A, Batteries!E:E*Batteries!F:F)/1000</f>
        <v>72</v>
      </c>
      <c r="J84" s="2" t="e" cm="1">
        <f t="array" ref="J84">_xlfn.XLOOKUP(B84, Batteries!A:A, Batteries!E:E*Batteries!G:G)/1000</f>
        <v>#N/A</v>
      </c>
      <c r="K84" t="e">
        <f>C84/H84/Calculations!$B$6 + Calculations!$B$3</f>
        <v>#N/A</v>
      </c>
      <c r="L84" t="e">
        <f>(C84*Calculations!$B$7/H84/Calculations!$B$6)</f>
        <v>#N/A</v>
      </c>
      <c r="M84" t="e">
        <f>(C84*Calculations!$B$7/H84/Calculations!$B$6) + Calculations!$B$3</f>
        <v>#N/A</v>
      </c>
      <c r="N84" t="e">
        <f>_xlfn.XLOOKUP(B84, Batteries!A:A, Batteries!E:E)/1000*60/K84</f>
        <v>#N/A</v>
      </c>
      <c r="O84" t="e">
        <f>_xlfn.XLOOKUP(A84, Motors!A:A, Motors!F:F)*4+_xlfn.XLOOKUP('Results (DO NOT EDIT)'!B84, Batteries!A:A, Batteries!D:D)</f>
        <v>#N/A</v>
      </c>
    </row>
    <row r="85" spans="1:15" ht="15" customHeight="1">
      <c r="A85">
        <f>MOD(ROW()-2, Calculations!$B$8) + 1</f>
        <v>2</v>
      </c>
      <c r="B85">
        <f>INT((ROW()-2)/Calculations!$B$8) + 1</f>
        <v>42</v>
      </c>
      <c r="C85" t="e">
        <f>Calculations!$B$2+_xlfn.XLOOKUP(A85, Motors!A:A, Motors!D:D)*Calculations!$B$5+_xlfn.XLOOKUP(B85, Batteries!A:A, Batteries!C:C)</f>
        <v>#N/A</v>
      </c>
      <c r="D85" t="e">
        <f>C85*Calculations!$B$4/Calculations!$B$5</f>
        <v>#N/A</v>
      </c>
      <c r="E85" t="e">
        <f t="shared" si="1"/>
        <v>#N/A</v>
      </c>
      <c r="F85" s="2">
        <f>_xlfn.MAXIFS(Motors!$E$2:$E$75, Motors!$A$2:$A$75, A85)</f>
        <v>115</v>
      </c>
      <c r="G85" t="e" cm="1">
        <f t="array" ref="G85">INDEX(_xlfn._xlws.FILTER(Motors!$J$2:$J$75, Motors!$A$2:$A$75='Results (DO NOT EDIT)'!$A85), MATCH(TRUE, INDEX(ABS(_xlfn._xlws.FILTER(Motors!$G$2:$G$75, Motors!$A$2:$A$75='Results (DO NOT EDIT)'!$A85) - 'Results (DO NOT EDIT)'!$D85) = MIN(INDEX(ABS(_xlfn._xlws.FILTER(Motors!$G$2:$G$75, Motors!$A$2:$A$75='Results (DO NOT EDIT)'!$A85) - 'Results (DO NOT EDIT)'!$D85), 0)), 0), 0))</f>
        <v>#N/A</v>
      </c>
      <c r="H85" s="2" t="e" cm="1">
        <f t="array" ref="H85">INDEX(
  Motors!$I$2:$I$75,
  MATCH(1, (Motors!$A$2:$A$75='Results (DO NOT EDIT)'!A85)*(Motors!$J$2:$J$75='Results (DO NOT EDIT)'!G85), 0)
)</f>
        <v>#N/A</v>
      </c>
      <c r="I85" s="2" cm="1">
        <f t="array" ref="I85">_xlfn.XLOOKUP(A85, Batteries!A:A, Batteries!E:E*Batteries!F:F)/1000</f>
        <v>52.25</v>
      </c>
      <c r="J85" s="2" t="e" cm="1">
        <f t="array" ref="J85">_xlfn.XLOOKUP(B85, Batteries!A:A, Batteries!E:E*Batteries!G:G)/1000</f>
        <v>#N/A</v>
      </c>
      <c r="K85" t="e">
        <f>C85/H85/Calculations!$B$6 + Calculations!$B$3</f>
        <v>#N/A</v>
      </c>
      <c r="L85" t="e">
        <f>(C85*Calculations!$B$7/H85/Calculations!$B$6)</f>
        <v>#N/A</v>
      </c>
      <c r="M85" t="e">
        <f>(C85*Calculations!$B$7/H85/Calculations!$B$6) + Calculations!$B$3</f>
        <v>#N/A</v>
      </c>
      <c r="N85" t="e">
        <f>_xlfn.XLOOKUP(B85, Batteries!A:A, Batteries!E:E)/1000*60/K85</f>
        <v>#N/A</v>
      </c>
      <c r="O85" t="e">
        <f>_xlfn.XLOOKUP(A85, Motors!A:A, Motors!F:F)*4+_xlfn.XLOOKUP('Results (DO NOT EDIT)'!B85, Batteries!A:A, Batteries!D:D)</f>
        <v>#N/A</v>
      </c>
    </row>
    <row r="86" spans="1:15" ht="15" customHeight="1">
      <c r="A86">
        <f>MOD(ROW()-2, Calculations!$B$8) + 1</f>
        <v>1</v>
      </c>
      <c r="B86">
        <f>INT((ROW()-2)/Calculations!$B$8) + 1</f>
        <v>43</v>
      </c>
      <c r="C86" t="e">
        <f>Calculations!$B$2+_xlfn.XLOOKUP(A86, Motors!A:A, Motors!D:D)*Calculations!$B$5+_xlfn.XLOOKUP(B86, Batteries!A:A, Batteries!C:C)</f>
        <v>#N/A</v>
      </c>
      <c r="D86" t="e">
        <f>C86*Calculations!$B$4/Calculations!$B$5</f>
        <v>#N/A</v>
      </c>
      <c r="E86" t="e">
        <f t="shared" si="1"/>
        <v>#N/A</v>
      </c>
      <c r="F86" s="2">
        <f>_xlfn.MAXIFS(Motors!$E$2:$E$75, Motors!$A$2:$A$75, A86)</f>
        <v>156.57</v>
      </c>
      <c r="G86" t="e" cm="1">
        <f t="array" ref="G86">INDEX(_xlfn._xlws.FILTER(Motors!$J$2:$J$75, Motors!$A$2:$A$75='Results (DO NOT EDIT)'!$A86), MATCH(TRUE, INDEX(ABS(_xlfn._xlws.FILTER(Motors!$G$2:$G$75, Motors!$A$2:$A$75='Results (DO NOT EDIT)'!$A86) - 'Results (DO NOT EDIT)'!$D86) = MIN(INDEX(ABS(_xlfn._xlws.FILTER(Motors!$G$2:$G$75, Motors!$A$2:$A$75='Results (DO NOT EDIT)'!$A86) - 'Results (DO NOT EDIT)'!$D86), 0)), 0), 0))</f>
        <v>#N/A</v>
      </c>
      <c r="H86" s="2" t="e" cm="1">
        <f t="array" ref="H86">INDEX(
  Motors!$I$2:$I$75,
  MATCH(1, (Motors!$A$2:$A$75='Results (DO NOT EDIT)'!A86)*(Motors!$J$2:$J$75='Results (DO NOT EDIT)'!G86), 0)
)</f>
        <v>#N/A</v>
      </c>
      <c r="I86" s="2" cm="1">
        <f t="array" ref="I86">_xlfn.XLOOKUP(A86, Batteries!A:A, Batteries!E:E*Batteries!F:F)/1000</f>
        <v>72</v>
      </c>
      <c r="J86" s="2" t="e" cm="1">
        <f t="array" ref="J86">_xlfn.XLOOKUP(B86, Batteries!A:A, Batteries!E:E*Batteries!G:G)/1000</f>
        <v>#N/A</v>
      </c>
      <c r="K86" t="e">
        <f>C86/H86/Calculations!$B$6 + Calculations!$B$3</f>
        <v>#N/A</v>
      </c>
      <c r="L86" t="e">
        <f>(C86*Calculations!$B$7/H86/Calculations!$B$6)</f>
        <v>#N/A</v>
      </c>
      <c r="M86" t="e">
        <f>(C86*Calculations!$B$7/H86/Calculations!$B$6) + Calculations!$B$3</f>
        <v>#N/A</v>
      </c>
      <c r="N86" t="e">
        <f>_xlfn.XLOOKUP(B86, Batteries!A:A, Batteries!E:E)/1000*60/K86</f>
        <v>#N/A</v>
      </c>
      <c r="O86" t="e">
        <f>_xlfn.XLOOKUP(A86, Motors!A:A, Motors!F:F)*4+_xlfn.XLOOKUP('Results (DO NOT EDIT)'!B86, Batteries!A:A, Batteries!D:D)</f>
        <v>#N/A</v>
      </c>
    </row>
    <row r="87" spans="1:15" ht="15" customHeight="1">
      <c r="A87">
        <f>MOD(ROW()-2, Calculations!$B$8) + 1</f>
        <v>2</v>
      </c>
      <c r="B87">
        <f>INT((ROW()-2)/Calculations!$B$8) + 1</f>
        <v>43</v>
      </c>
      <c r="C87" t="e">
        <f>Calculations!$B$2+_xlfn.XLOOKUP(A87, Motors!A:A, Motors!D:D)*Calculations!$B$5+_xlfn.XLOOKUP(B87, Batteries!A:A, Batteries!C:C)</f>
        <v>#N/A</v>
      </c>
      <c r="D87" t="e">
        <f>C87*Calculations!$B$4/Calculations!$B$5</f>
        <v>#N/A</v>
      </c>
      <c r="E87" t="e">
        <f t="shared" si="1"/>
        <v>#N/A</v>
      </c>
      <c r="F87" s="2">
        <f>_xlfn.MAXIFS(Motors!$E$2:$E$75, Motors!$A$2:$A$75, A87)</f>
        <v>115</v>
      </c>
      <c r="G87" t="e" cm="1">
        <f t="array" ref="G87">INDEX(_xlfn._xlws.FILTER(Motors!$J$2:$J$75, Motors!$A$2:$A$75='Results (DO NOT EDIT)'!$A87), MATCH(TRUE, INDEX(ABS(_xlfn._xlws.FILTER(Motors!$G$2:$G$75, Motors!$A$2:$A$75='Results (DO NOT EDIT)'!$A87) - 'Results (DO NOT EDIT)'!$D87) = MIN(INDEX(ABS(_xlfn._xlws.FILTER(Motors!$G$2:$G$75, Motors!$A$2:$A$75='Results (DO NOT EDIT)'!$A87) - 'Results (DO NOT EDIT)'!$D87), 0)), 0), 0))</f>
        <v>#N/A</v>
      </c>
      <c r="H87" s="2" t="e" cm="1">
        <f t="array" ref="H87">INDEX(
  Motors!$I$2:$I$75,
  MATCH(1, (Motors!$A$2:$A$75='Results (DO NOT EDIT)'!A87)*(Motors!$J$2:$J$75='Results (DO NOT EDIT)'!G87), 0)
)</f>
        <v>#N/A</v>
      </c>
      <c r="I87" s="2" cm="1">
        <f t="array" ref="I87">_xlfn.XLOOKUP(A87, Batteries!A:A, Batteries!E:E*Batteries!F:F)/1000</f>
        <v>52.25</v>
      </c>
      <c r="J87" s="2" t="e" cm="1">
        <f t="array" ref="J87">_xlfn.XLOOKUP(B87, Batteries!A:A, Batteries!E:E*Batteries!G:G)/1000</f>
        <v>#N/A</v>
      </c>
      <c r="K87" t="e">
        <f>C87/H87/Calculations!$B$6 + Calculations!$B$3</f>
        <v>#N/A</v>
      </c>
      <c r="L87" t="e">
        <f>(C87*Calculations!$B$7/H87/Calculations!$B$6)</f>
        <v>#N/A</v>
      </c>
      <c r="M87" t="e">
        <f>(C87*Calculations!$B$7/H87/Calculations!$B$6) + Calculations!$B$3</f>
        <v>#N/A</v>
      </c>
      <c r="N87" t="e">
        <f>_xlfn.XLOOKUP(B87, Batteries!A:A, Batteries!E:E)/1000*60/K87</f>
        <v>#N/A</v>
      </c>
      <c r="O87" t="e">
        <f>_xlfn.XLOOKUP(A87, Motors!A:A, Motors!F:F)*4+_xlfn.XLOOKUP('Results (DO NOT EDIT)'!B87, Batteries!A:A, Batteries!D:D)</f>
        <v>#N/A</v>
      </c>
    </row>
    <row r="88" spans="1:15" ht="15" customHeight="1">
      <c r="A88">
        <f>MOD(ROW()-2, Calculations!$B$8) + 1</f>
        <v>1</v>
      </c>
      <c r="B88">
        <f>INT((ROW()-2)/Calculations!$B$8) + 1</f>
        <v>44</v>
      </c>
      <c r="C88" t="e">
        <f>Calculations!$B$2+_xlfn.XLOOKUP(A88, Motors!A:A, Motors!D:D)*Calculations!$B$5+_xlfn.XLOOKUP(B88, Batteries!A:A, Batteries!C:C)</f>
        <v>#N/A</v>
      </c>
      <c r="D88" t="e">
        <f>C88*Calculations!$B$4/Calculations!$B$5</f>
        <v>#N/A</v>
      </c>
      <c r="E88" t="e">
        <f t="shared" si="1"/>
        <v>#N/A</v>
      </c>
      <c r="F88" s="2">
        <f>_xlfn.MAXIFS(Motors!$E$2:$E$75, Motors!$A$2:$A$75, A88)</f>
        <v>156.57</v>
      </c>
      <c r="G88" t="e" cm="1">
        <f t="array" ref="G88">INDEX(_xlfn._xlws.FILTER(Motors!$J$2:$J$75, Motors!$A$2:$A$75='Results (DO NOT EDIT)'!$A88), MATCH(TRUE, INDEX(ABS(_xlfn._xlws.FILTER(Motors!$G$2:$G$75, Motors!$A$2:$A$75='Results (DO NOT EDIT)'!$A88) - 'Results (DO NOT EDIT)'!$D88) = MIN(INDEX(ABS(_xlfn._xlws.FILTER(Motors!$G$2:$G$75, Motors!$A$2:$A$75='Results (DO NOT EDIT)'!$A88) - 'Results (DO NOT EDIT)'!$D88), 0)), 0), 0))</f>
        <v>#N/A</v>
      </c>
      <c r="H88" s="2" t="e" cm="1">
        <f t="array" ref="H88">INDEX(
  Motors!$I$2:$I$75,
  MATCH(1, (Motors!$A$2:$A$75='Results (DO NOT EDIT)'!A88)*(Motors!$J$2:$J$75='Results (DO NOT EDIT)'!G88), 0)
)</f>
        <v>#N/A</v>
      </c>
      <c r="I88" s="2" cm="1">
        <f t="array" ref="I88">_xlfn.XLOOKUP(A88, Batteries!A:A, Batteries!E:E*Batteries!F:F)/1000</f>
        <v>72</v>
      </c>
      <c r="J88" s="2" t="e" cm="1">
        <f t="array" ref="J88">_xlfn.XLOOKUP(B88, Batteries!A:A, Batteries!E:E*Batteries!G:G)/1000</f>
        <v>#N/A</v>
      </c>
      <c r="K88" t="e">
        <f>C88/H88/Calculations!$B$6 + Calculations!$B$3</f>
        <v>#N/A</v>
      </c>
      <c r="L88" t="e">
        <f>(C88*Calculations!$B$7/H88/Calculations!$B$6)</f>
        <v>#N/A</v>
      </c>
      <c r="M88" t="e">
        <f>(C88*Calculations!$B$7/H88/Calculations!$B$6) + Calculations!$B$3</f>
        <v>#N/A</v>
      </c>
      <c r="N88" t="e">
        <f>_xlfn.XLOOKUP(B88, Batteries!A:A, Batteries!E:E)/1000*60/K88</f>
        <v>#N/A</v>
      </c>
      <c r="O88" t="e">
        <f>_xlfn.XLOOKUP(A88, Motors!A:A, Motors!F:F)*4+_xlfn.XLOOKUP('Results (DO NOT EDIT)'!B88, Batteries!A:A, Batteries!D:D)</f>
        <v>#N/A</v>
      </c>
    </row>
    <row r="89" spans="1:15" ht="15" customHeight="1">
      <c r="A89">
        <f>MOD(ROW()-2, Calculations!$B$8) + 1</f>
        <v>2</v>
      </c>
      <c r="B89">
        <f>INT((ROW()-2)/Calculations!$B$8) + 1</f>
        <v>44</v>
      </c>
      <c r="C89" t="e">
        <f>Calculations!$B$2+_xlfn.XLOOKUP(A89, Motors!A:A, Motors!D:D)*Calculations!$B$5+_xlfn.XLOOKUP(B89, Batteries!A:A, Batteries!C:C)</f>
        <v>#N/A</v>
      </c>
      <c r="D89" t="e">
        <f>C89*Calculations!$B$4/Calculations!$B$5</f>
        <v>#N/A</v>
      </c>
      <c r="E89" t="e">
        <f t="shared" si="1"/>
        <v>#N/A</v>
      </c>
      <c r="F89" s="2">
        <f>_xlfn.MAXIFS(Motors!$E$2:$E$75, Motors!$A$2:$A$75, A89)</f>
        <v>115</v>
      </c>
      <c r="G89" t="e" cm="1">
        <f t="array" ref="G89">INDEX(_xlfn._xlws.FILTER(Motors!$J$2:$J$75, Motors!$A$2:$A$75='Results (DO NOT EDIT)'!$A89), MATCH(TRUE, INDEX(ABS(_xlfn._xlws.FILTER(Motors!$G$2:$G$75, Motors!$A$2:$A$75='Results (DO NOT EDIT)'!$A89) - 'Results (DO NOT EDIT)'!$D89) = MIN(INDEX(ABS(_xlfn._xlws.FILTER(Motors!$G$2:$G$75, Motors!$A$2:$A$75='Results (DO NOT EDIT)'!$A89) - 'Results (DO NOT EDIT)'!$D89), 0)), 0), 0))</f>
        <v>#N/A</v>
      </c>
      <c r="H89" s="2" t="e" cm="1">
        <f t="array" ref="H89">INDEX(
  Motors!$I$2:$I$75,
  MATCH(1, (Motors!$A$2:$A$75='Results (DO NOT EDIT)'!A89)*(Motors!$J$2:$J$75='Results (DO NOT EDIT)'!G89), 0)
)</f>
        <v>#N/A</v>
      </c>
      <c r="I89" s="2" cm="1">
        <f t="array" ref="I89">_xlfn.XLOOKUP(A89, Batteries!A:A, Batteries!E:E*Batteries!F:F)/1000</f>
        <v>52.25</v>
      </c>
      <c r="J89" s="2" t="e" cm="1">
        <f t="array" ref="J89">_xlfn.XLOOKUP(B89, Batteries!A:A, Batteries!E:E*Batteries!G:G)/1000</f>
        <v>#N/A</v>
      </c>
      <c r="K89" t="e">
        <f>C89/H89/Calculations!$B$6 + Calculations!$B$3</f>
        <v>#N/A</v>
      </c>
      <c r="L89" t="e">
        <f>(C89*Calculations!$B$7/H89/Calculations!$B$6)</f>
        <v>#N/A</v>
      </c>
      <c r="M89" t="e">
        <f>(C89*Calculations!$B$7/H89/Calculations!$B$6) + Calculations!$B$3</f>
        <v>#N/A</v>
      </c>
      <c r="N89" t="e">
        <f>_xlfn.XLOOKUP(B89, Batteries!A:A, Batteries!E:E)/1000*60/K89</f>
        <v>#N/A</v>
      </c>
      <c r="O89" t="e">
        <f>_xlfn.XLOOKUP(A89, Motors!A:A, Motors!F:F)*4+_xlfn.XLOOKUP('Results (DO NOT EDIT)'!B89, Batteries!A:A, Batteries!D:D)</f>
        <v>#N/A</v>
      </c>
    </row>
    <row r="90" spans="1:15" ht="15" customHeight="1">
      <c r="A90">
        <f>MOD(ROW()-2, Calculations!$B$8) + 1</f>
        <v>1</v>
      </c>
      <c r="B90">
        <f>INT((ROW()-2)/Calculations!$B$8) + 1</f>
        <v>45</v>
      </c>
      <c r="C90" t="e">
        <f>Calculations!$B$2+_xlfn.XLOOKUP(A90, Motors!A:A, Motors!D:D)*Calculations!$B$5+_xlfn.XLOOKUP(B90, Batteries!A:A, Batteries!C:C)</f>
        <v>#N/A</v>
      </c>
      <c r="D90" t="e">
        <f>C90*Calculations!$B$4/Calculations!$B$5</f>
        <v>#N/A</v>
      </c>
      <c r="E90" t="e">
        <f t="shared" si="1"/>
        <v>#N/A</v>
      </c>
      <c r="F90" s="2">
        <f>_xlfn.MAXIFS(Motors!$E$2:$E$75, Motors!$A$2:$A$75, A90)</f>
        <v>156.57</v>
      </c>
      <c r="G90" t="e" cm="1">
        <f t="array" ref="G90">INDEX(_xlfn._xlws.FILTER(Motors!$J$2:$J$75, Motors!$A$2:$A$75='Results (DO NOT EDIT)'!$A90), MATCH(TRUE, INDEX(ABS(_xlfn._xlws.FILTER(Motors!$G$2:$G$75, Motors!$A$2:$A$75='Results (DO NOT EDIT)'!$A90) - 'Results (DO NOT EDIT)'!$D90) = MIN(INDEX(ABS(_xlfn._xlws.FILTER(Motors!$G$2:$G$75, Motors!$A$2:$A$75='Results (DO NOT EDIT)'!$A90) - 'Results (DO NOT EDIT)'!$D90), 0)), 0), 0))</f>
        <v>#N/A</v>
      </c>
      <c r="H90" s="2" t="e" cm="1">
        <f t="array" ref="H90">INDEX(
  Motors!$I$2:$I$75,
  MATCH(1, (Motors!$A$2:$A$75='Results (DO NOT EDIT)'!A90)*(Motors!$J$2:$J$75='Results (DO NOT EDIT)'!G90), 0)
)</f>
        <v>#N/A</v>
      </c>
      <c r="I90" s="2" cm="1">
        <f t="array" ref="I90">_xlfn.XLOOKUP(A90, Batteries!A:A, Batteries!E:E*Batteries!F:F)/1000</f>
        <v>72</v>
      </c>
      <c r="J90" s="2" t="e" cm="1">
        <f t="array" ref="J90">_xlfn.XLOOKUP(B90, Batteries!A:A, Batteries!E:E*Batteries!G:G)/1000</f>
        <v>#N/A</v>
      </c>
      <c r="K90" t="e">
        <f>C90/H90/Calculations!$B$6 + Calculations!$B$3</f>
        <v>#N/A</v>
      </c>
      <c r="L90" t="e">
        <f>(C90*Calculations!$B$7/H90/Calculations!$B$6)</f>
        <v>#N/A</v>
      </c>
      <c r="M90" t="e">
        <f>(C90*Calculations!$B$7/H90/Calculations!$B$6) + Calculations!$B$3</f>
        <v>#N/A</v>
      </c>
      <c r="N90" t="e">
        <f>_xlfn.XLOOKUP(B90, Batteries!A:A, Batteries!E:E)/1000*60/K90</f>
        <v>#N/A</v>
      </c>
      <c r="O90" t="e">
        <f>_xlfn.XLOOKUP(A90, Motors!A:A, Motors!F:F)*4+_xlfn.XLOOKUP('Results (DO NOT EDIT)'!B90, Batteries!A:A, Batteries!D:D)</f>
        <v>#N/A</v>
      </c>
    </row>
    <row r="91" spans="1:15" ht="15" customHeight="1">
      <c r="A91">
        <f>MOD(ROW()-2, Calculations!$B$8) + 1</f>
        <v>2</v>
      </c>
      <c r="B91">
        <f>INT((ROW()-2)/Calculations!$B$8) + 1</f>
        <v>45</v>
      </c>
      <c r="C91" t="e">
        <f>Calculations!$B$2+_xlfn.XLOOKUP(A91, Motors!A:A, Motors!D:D)*Calculations!$B$5+_xlfn.XLOOKUP(B91, Batteries!A:A, Batteries!C:C)</f>
        <v>#N/A</v>
      </c>
      <c r="D91" t="e">
        <f>C91*Calculations!$B$4/Calculations!$B$5</f>
        <v>#N/A</v>
      </c>
      <c r="E91" t="e">
        <f t="shared" si="1"/>
        <v>#N/A</v>
      </c>
      <c r="F91" s="2">
        <f>_xlfn.MAXIFS(Motors!$E$2:$E$75, Motors!$A$2:$A$75, A91)</f>
        <v>115</v>
      </c>
      <c r="G91" t="e" cm="1">
        <f t="array" ref="G91">INDEX(_xlfn._xlws.FILTER(Motors!$J$2:$J$75, Motors!$A$2:$A$75='Results (DO NOT EDIT)'!$A91), MATCH(TRUE, INDEX(ABS(_xlfn._xlws.FILTER(Motors!$G$2:$G$75, Motors!$A$2:$A$75='Results (DO NOT EDIT)'!$A91) - 'Results (DO NOT EDIT)'!$D91) = MIN(INDEX(ABS(_xlfn._xlws.FILTER(Motors!$G$2:$G$75, Motors!$A$2:$A$75='Results (DO NOT EDIT)'!$A91) - 'Results (DO NOT EDIT)'!$D91), 0)), 0), 0))</f>
        <v>#N/A</v>
      </c>
      <c r="H91" s="2" t="e" cm="1">
        <f t="array" ref="H91">INDEX(
  Motors!$I$2:$I$75,
  MATCH(1, (Motors!$A$2:$A$75='Results (DO NOT EDIT)'!A91)*(Motors!$J$2:$J$75='Results (DO NOT EDIT)'!G91), 0)
)</f>
        <v>#N/A</v>
      </c>
      <c r="I91" s="2" cm="1">
        <f t="array" ref="I91">_xlfn.XLOOKUP(A91, Batteries!A:A, Batteries!E:E*Batteries!F:F)/1000</f>
        <v>52.25</v>
      </c>
      <c r="J91" s="2" t="e" cm="1">
        <f t="array" ref="J91">_xlfn.XLOOKUP(B91, Batteries!A:A, Batteries!E:E*Batteries!G:G)/1000</f>
        <v>#N/A</v>
      </c>
      <c r="K91" t="e">
        <f>C91/H91/Calculations!$B$6 + Calculations!$B$3</f>
        <v>#N/A</v>
      </c>
      <c r="L91" t="e">
        <f>(C91*Calculations!$B$7/H91/Calculations!$B$6)</f>
        <v>#N/A</v>
      </c>
      <c r="M91" t="e">
        <f>(C91*Calculations!$B$7/H91/Calculations!$B$6) + Calculations!$B$3</f>
        <v>#N/A</v>
      </c>
      <c r="N91" t="e">
        <f>_xlfn.XLOOKUP(B91, Batteries!A:A, Batteries!E:E)/1000*60/K91</f>
        <v>#N/A</v>
      </c>
      <c r="O91" t="e">
        <f>_xlfn.XLOOKUP(A91, Motors!A:A, Motors!F:F)*4+_xlfn.XLOOKUP('Results (DO NOT EDIT)'!B91, Batteries!A:A, Batteries!D:D)</f>
        <v>#N/A</v>
      </c>
    </row>
    <row r="92" spans="1:15" ht="15" customHeight="1">
      <c r="A92">
        <f>MOD(ROW()-2, Calculations!$B$8) + 1</f>
        <v>1</v>
      </c>
      <c r="B92">
        <f>INT((ROW()-2)/Calculations!$B$8) + 1</f>
        <v>46</v>
      </c>
      <c r="C92" t="e">
        <f>Calculations!$B$2+_xlfn.XLOOKUP(A92, Motors!A:A, Motors!D:D)*Calculations!$B$5+_xlfn.XLOOKUP(B92, Batteries!A:A, Batteries!C:C)</f>
        <v>#N/A</v>
      </c>
      <c r="D92" t="e">
        <f>C92*Calculations!$B$4/Calculations!$B$5</f>
        <v>#N/A</v>
      </c>
      <c r="E92" t="e">
        <f t="shared" si="1"/>
        <v>#N/A</v>
      </c>
      <c r="F92" s="2">
        <f>_xlfn.MAXIFS(Motors!$E$2:$E$75, Motors!$A$2:$A$75, A92)</f>
        <v>156.57</v>
      </c>
      <c r="G92" t="e" cm="1">
        <f t="array" ref="G92">INDEX(_xlfn._xlws.FILTER(Motors!$J$2:$J$75, Motors!$A$2:$A$75='Results (DO NOT EDIT)'!$A92), MATCH(TRUE, INDEX(ABS(_xlfn._xlws.FILTER(Motors!$G$2:$G$75, Motors!$A$2:$A$75='Results (DO NOT EDIT)'!$A92) - 'Results (DO NOT EDIT)'!$D92) = MIN(INDEX(ABS(_xlfn._xlws.FILTER(Motors!$G$2:$G$75, Motors!$A$2:$A$75='Results (DO NOT EDIT)'!$A92) - 'Results (DO NOT EDIT)'!$D92), 0)), 0), 0))</f>
        <v>#N/A</v>
      </c>
      <c r="H92" s="2" t="e" cm="1">
        <f t="array" ref="H92">INDEX(
  Motors!$I$2:$I$75,
  MATCH(1, (Motors!$A$2:$A$75='Results (DO NOT EDIT)'!A92)*(Motors!$J$2:$J$75='Results (DO NOT EDIT)'!G92), 0)
)</f>
        <v>#N/A</v>
      </c>
      <c r="I92" s="2" cm="1">
        <f t="array" ref="I92">_xlfn.XLOOKUP(A92, Batteries!A:A, Batteries!E:E*Batteries!F:F)/1000</f>
        <v>72</v>
      </c>
      <c r="J92" s="2" t="e" cm="1">
        <f t="array" ref="J92">_xlfn.XLOOKUP(B92, Batteries!A:A, Batteries!E:E*Batteries!G:G)/1000</f>
        <v>#N/A</v>
      </c>
      <c r="K92" t="e">
        <f>C92/H92/Calculations!$B$6 + Calculations!$B$3</f>
        <v>#N/A</v>
      </c>
      <c r="L92" t="e">
        <f>(C92*Calculations!$B$7/H92/Calculations!$B$6)</f>
        <v>#N/A</v>
      </c>
      <c r="M92" t="e">
        <f>(C92*Calculations!$B$7/H92/Calculations!$B$6) + Calculations!$B$3</f>
        <v>#N/A</v>
      </c>
      <c r="N92" t="e">
        <f>_xlfn.XLOOKUP(B92, Batteries!A:A, Batteries!E:E)/1000*60/K92</f>
        <v>#N/A</v>
      </c>
      <c r="O92" t="e">
        <f>_xlfn.XLOOKUP(A92, Motors!A:A, Motors!F:F)*4+_xlfn.XLOOKUP('Results (DO NOT EDIT)'!B92, Batteries!A:A, Batteries!D:D)</f>
        <v>#N/A</v>
      </c>
    </row>
    <row r="93" spans="1:15" ht="15" customHeight="1">
      <c r="A93">
        <f>MOD(ROW()-2, Calculations!$B$8) + 1</f>
        <v>2</v>
      </c>
      <c r="B93">
        <f>INT((ROW()-2)/Calculations!$B$8) + 1</f>
        <v>46</v>
      </c>
      <c r="C93" t="e">
        <f>Calculations!$B$2+_xlfn.XLOOKUP(A93, Motors!A:A, Motors!D:D)*Calculations!$B$5+_xlfn.XLOOKUP(B93, Batteries!A:A, Batteries!C:C)</f>
        <v>#N/A</v>
      </c>
      <c r="D93" t="e">
        <f>C93*Calculations!$B$4/Calculations!$B$5</f>
        <v>#N/A</v>
      </c>
      <c r="E93" t="e">
        <f t="shared" si="1"/>
        <v>#N/A</v>
      </c>
      <c r="F93" s="2">
        <f>_xlfn.MAXIFS(Motors!$E$2:$E$75, Motors!$A$2:$A$75, A93)</f>
        <v>115</v>
      </c>
      <c r="G93" t="e" cm="1">
        <f t="array" ref="G93">INDEX(_xlfn._xlws.FILTER(Motors!$J$2:$J$75, Motors!$A$2:$A$75='Results (DO NOT EDIT)'!$A93), MATCH(TRUE, INDEX(ABS(_xlfn._xlws.FILTER(Motors!$G$2:$G$75, Motors!$A$2:$A$75='Results (DO NOT EDIT)'!$A93) - 'Results (DO NOT EDIT)'!$D93) = MIN(INDEX(ABS(_xlfn._xlws.FILTER(Motors!$G$2:$G$75, Motors!$A$2:$A$75='Results (DO NOT EDIT)'!$A93) - 'Results (DO NOT EDIT)'!$D93), 0)), 0), 0))</f>
        <v>#N/A</v>
      </c>
      <c r="H93" s="2" t="e" cm="1">
        <f t="array" ref="H93">INDEX(
  Motors!$I$2:$I$75,
  MATCH(1, (Motors!$A$2:$A$75='Results (DO NOT EDIT)'!A93)*(Motors!$J$2:$J$75='Results (DO NOT EDIT)'!G93), 0)
)</f>
        <v>#N/A</v>
      </c>
      <c r="I93" s="2" cm="1">
        <f t="array" ref="I93">_xlfn.XLOOKUP(A93, Batteries!A:A, Batteries!E:E*Batteries!F:F)/1000</f>
        <v>52.25</v>
      </c>
      <c r="J93" s="2" t="e" cm="1">
        <f t="array" ref="J93">_xlfn.XLOOKUP(B93, Batteries!A:A, Batteries!E:E*Batteries!G:G)/1000</f>
        <v>#N/A</v>
      </c>
      <c r="K93" t="e">
        <f>C93/H93/Calculations!$B$6 + Calculations!$B$3</f>
        <v>#N/A</v>
      </c>
      <c r="L93" t="e">
        <f>(C93*Calculations!$B$7/H93/Calculations!$B$6)</f>
        <v>#N/A</v>
      </c>
      <c r="M93" t="e">
        <f>(C93*Calculations!$B$7/H93/Calculations!$B$6) + Calculations!$B$3</f>
        <v>#N/A</v>
      </c>
      <c r="N93" t="e">
        <f>_xlfn.XLOOKUP(B93, Batteries!A:A, Batteries!E:E)/1000*60/K93</f>
        <v>#N/A</v>
      </c>
      <c r="O93" t="e">
        <f>_xlfn.XLOOKUP(A93, Motors!A:A, Motors!F:F)*4+_xlfn.XLOOKUP('Results (DO NOT EDIT)'!B93, Batteries!A:A, Batteries!D:D)</f>
        <v>#N/A</v>
      </c>
    </row>
    <row r="94" spans="1:15" ht="15" customHeight="1">
      <c r="A94">
        <f>MOD(ROW()-2, Calculations!$B$8) + 1</f>
        <v>1</v>
      </c>
      <c r="B94">
        <f>INT((ROW()-2)/Calculations!$B$8) + 1</f>
        <v>47</v>
      </c>
      <c r="C94" t="e">
        <f>Calculations!$B$2+_xlfn.XLOOKUP(A94, Motors!A:A, Motors!D:D)*Calculations!$B$5+_xlfn.XLOOKUP(B94, Batteries!A:A, Batteries!C:C)</f>
        <v>#N/A</v>
      </c>
      <c r="D94" t="e">
        <f>C94*Calculations!$B$4/Calculations!$B$5</f>
        <v>#N/A</v>
      </c>
      <c r="E94" t="e">
        <f t="shared" si="1"/>
        <v>#N/A</v>
      </c>
      <c r="F94" s="2">
        <f>_xlfn.MAXIFS(Motors!$E$2:$E$75, Motors!$A$2:$A$75, A94)</f>
        <v>156.57</v>
      </c>
      <c r="G94" t="e" cm="1">
        <f t="array" ref="G94">INDEX(_xlfn._xlws.FILTER(Motors!$J$2:$J$75, Motors!$A$2:$A$75='Results (DO NOT EDIT)'!$A94), MATCH(TRUE, INDEX(ABS(_xlfn._xlws.FILTER(Motors!$G$2:$G$75, Motors!$A$2:$A$75='Results (DO NOT EDIT)'!$A94) - 'Results (DO NOT EDIT)'!$D94) = MIN(INDEX(ABS(_xlfn._xlws.FILTER(Motors!$G$2:$G$75, Motors!$A$2:$A$75='Results (DO NOT EDIT)'!$A94) - 'Results (DO NOT EDIT)'!$D94), 0)), 0), 0))</f>
        <v>#N/A</v>
      </c>
      <c r="H94" s="2" t="e" cm="1">
        <f t="array" ref="H94">INDEX(
  Motors!$I$2:$I$75,
  MATCH(1, (Motors!$A$2:$A$75='Results (DO NOT EDIT)'!A94)*(Motors!$J$2:$J$75='Results (DO NOT EDIT)'!G94), 0)
)</f>
        <v>#N/A</v>
      </c>
      <c r="I94" s="2" cm="1">
        <f t="array" ref="I94">_xlfn.XLOOKUP(A94, Batteries!A:A, Batteries!E:E*Batteries!F:F)/1000</f>
        <v>72</v>
      </c>
      <c r="J94" s="2" t="e" cm="1">
        <f t="array" ref="J94">_xlfn.XLOOKUP(B94, Batteries!A:A, Batteries!E:E*Batteries!G:G)/1000</f>
        <v>#N/A</v>
      </c>
      <c r="K94" t="e">
        <f>C94/H94/Calculations!$B$6 + Calculations!$B$3</f>
        <v>#N/A</v>
      </c>
      <c r="L94" t="e">
        <f>(C94*Calculations!$B$7/H94/Calculations!$B$6)</f>
        <v>#N/A</v>
      </c>
      <c r="M94" t="e">
        <f>(C94*Calculations!$B$7/H94/Calculations!$B$6) + Calculations!$B$3</f>
        <v>#N/A</v>
      </c>
      <c r="N94" t="e">
        <f>_xlfn.XLOOKUP(B94, Batteries!A:A, Batteries!E:E)/1000*60/K94</f>
        <v>#N/A</v>
      </c>
      <c r="O94" t="e">
        <f>_xlfn.XLOOKUP(A94, Motors!A:A, Motors!F:F)*4+_xlfn.XLOOKUP('Results (DO NOT EDIT)'!B94, Batteries!A:A, Batteries!D:D)</f>
        <v>#N/A</v>
      </c>
    </row>
    <row r="95" spans="1:15" ht="15" customHeight="1">
      <c r="A95">
        <f>MOD(ROW()-2, Calculations!$B$8) + 1</f>
        <v>2</v>
      </c>
      <c r="B95">
        <f>INT((ROW()-2)/Calculations!$B$8) + 1</f>
        <v>47</v>
      </c>
      <c r="C95" t="e">
        <f>Calculations!$B$2+_xlfn.XLOOKUP(A95, Motors!A:A, Motors!D:D)*Calculations!$B$5+_xlfn.XLOOKUP(B95, Batteries!A:A, Batteries!C:C)</f>
        <v>#N/A</v>
      </c>
      <c r="D95" t="e">
        <f>C95*Calculations!$B$4/Calculations!$B$5</f>
        <v>#N/A</v>
      </c>
      <c r="E95" t="e">
        <f t="shared" si="1"/>
        <v>#N/A</v>
      </c>
      <c r="F95" s="2">
        <f>_xlfn.MAXIFS(Motors!$E$2:$E$75, Motors!$A$2:$A$75, A95)</f>
        <v>115</v>
      </c>
      <c r="G95" t="e" cm="1">
        <f t="array" ref="G95">INDEX(_xlfn._xlws.FILTER(Motors!$J$2:$J$75, Motors!$A$2:$A$75='Results (DO NOT EDIT)'!$A95), MATCH(TRUE, INDEX(ABS(_xlfn._xlws.FILTER(Motors!$G$2:$G$75, Motors!$A$2:$A$75='Results (DO NOT EDIT)'!$A95) - 'Results (DO NOT EDIT)'!$D95) = MIN(INDEX(ABS(_xlfn._xlws.FILTER(Motors!$G$2:$G$75, Motors!$A$2:$A$75='Results (DO NOT EDIT)'!$A95) - 'Results (DO NOT EDIT)'!$D95), 0)), 0), 0))</f>
        <v>#N/A</v>
      </c>
      <c r="H95" s="2" t="e" cm="1">
        <f t="array" ref="H95">INDEX(
  Motors!$I$2:$I$75,
  MATCH(1, (Motors!$A$2:$A$75='Results (DO NOT EDIT)'!A95)*(Motors!$J$2:$J$75='Results (DO NOT EDIT)'!G95), 0)
)</f>
        <v>#N/A</v>
      </c>
      <c r="I95" s="2" cm="1">
        <f t="array" ref="I95">_xlfn.XLOOKUP(A95, Batteries!A:A, Batteries!E:E*Batteries!F:F)/1000</f>
        <v>52.25</v>
      </c>
      <c r="J95" s="2" t="e" cm="1">
        <f t="array" ref="J95">_xlfn.XLOOKUP(B95, Batteries!A:A, Batteries!E:E*Batteries!G:G)/1000</f>
        <v>#N/A</v>
      </c>
      <c r="K95" t="e">
        <f>C95/H95/Calculations!$B$6 + Calculations!$B$3</f>
        <v>#N/A</v>
      </c>
      <c r="L95" t="e">
        <f>(C95*Calculations!$B$7/H95/Calculations!$B$6)</f>
        <v>#N/A</v>
      </c>
      <c r="M95" t="e">
        <f>(C95*Calculations!$B$7/H95/Calculations!$B$6) + Calculations!$B$3</f>
        <v>#N/A</v>
      </c>
      <c r="N95" t="e">
        <f>_xlfn.XLOOKUP(B95, Batteries!A:A, Batteries!E:E)/1000*60/K95</f>
        <v>#N/A</v>
      </c>
      <c r="O95" t="e">
        <f>_xlfn.XLOOKUP(A95, Motors!A:A, Motors!F:F)*4+_xlfn.XLOOKUP('Results (DO NOT EDIT)'!B95, Batteries!A:A, Batteries!D:D)</f>
        <v>#N/A</v>
      </c>
    </row>
    <row r="96" spans="1:15" ht="15" customHeight="1">
      <c r="A96">
        <f>MOD(ROW()-2, Calculations!$B$8) + 1</f>
        <v>1</v>
      </c>
      <c r="B96">
        <f>INT((ROW()-2)/Calculations!$B$8) + 1</f>
        <v>48</v>
      </c>
      <c r="C96" t="e">
        <f>Calculations!$B$2+_xlfn.XLOOKUP(A96, Motors!A:A, Motors!D:D)*Calculations!$B$5+_xlfn.XLOOKUP(B96, Batteries!A:A, Batteries!C:C)</f>
        <v>#N/A</v>
      </c>
      <c r="D96" t="e">
        <f>C96*Calculations!$B$4/Calculations!$B$5</f>
        <v>#N/A</v>
      </c>
      <c r="E96" t="e">
        <f t="shared" si="1"/>
        <v>#N/A</v>
      </c>
      <c r="F96" s="2">
        <f>_xlfn.MAXIFS(Motors!$E$2:$E$75, Motors!$A$2:$A$75, A96)</f>
        <v>156.57</v>
      </c>
      <c r="G96" t="e" cm="1">
        <f t="array" ref="G96">INDEX(_xlfn._xlws.FILTER(Motors!$J$2:$J$75, Motors!$A$2:$A$75='Results (DO NOT EDIT)'!$A96), MATCH(TRUE, INDEX(ABS(_xlfn._xlws.FILTER(Motors!$G$2:$G$75, Motors!$A$2:$A$75='Results (DO NOT EDIT)'!$A96) - 'Results (DO NOT EDIT)'!$D96) = MIN(INDEX(ABS(_xlfn._xlws.FILTER(Motors!$G$2:$G$75, Motors!$A$2:$A$75='Results (DO NOT EDIT)'!$A96) - 'Results (DO NOT EDIT)'!$D96), 0)), 0), 0))</f>
        <v>#N/A</v>
      </c>
      <c r="H96" s="2" t="e" cm="1">
        <f t="array" ref="H96">INDEX(
  Motors!$I$2:$I$75,
  MATCH(1, (Motors!$A$2:$A$75='Results (DO NOT EDIT)'!A96)*(Motors!$J$2:$J$75='Results (DO NOT EDIT)'!G96), 0)
)</f>
        <v>#N/A</v>
      </c>
      <c r="I96" s="2" cm="1">
        <f t="array" ref="I96">_xlfn.XLOOKUP(A96, Batteries!A:A, Batteries!E:E*Batteries!F:F)/1000</f>
        <v>72</v>
      </c>
      <c r="J96" s="2" t="e" cm="1">
        <f t="array" ref="J96">_xlfn.XLOOKUP(B96, Batteries!A:A, Batteries!E:E*Batteries!G:G)/1000</f>
        <v>#N/A</v>
      </c>
      <c r="K96" t="e">
        <f>C96/H96/Calculations!$B$6 + Calculations!$B$3</f>
        <v>#N/A</v>
      </c>
      <c r="L96" t="e">
        <f>(C96*Calculations!$B$7/H96/Calculations!$B$6)</f>
        <v>#N/A</v>
      </c>
      <c r="M96" t="e">
        <f>(C96*Calculations!$B$7/H96/Calculations!$B$6) + Calculations!$B$3</f>
        <v>#N/A</v>
      </c>
      <c r="N96" t="e">
        <f>_xlfn.XLOOKUP(B96, Batteries!A:A, Batteries!E:E)/1000*60/K96</f>
        <v>#N/A</v>
      </c>
      <c r="O96" t="e">
        <f>_xlfn.XLOOKUP(A96, Motors!A:A, Motors!F:F)*4+_xlfn.XLOOKUP('Results (DO NOT EDIT)'!B96, Batteries!A:A, Batteries!D:D)</f>
        <v>#N/A</v>
      </c>
    </row>
    <row r="97" spans="1:15" ht="15" customHeight="1">
      <c r="A97">
        <f>MOD(ROW()-2, Calculations!$B$8) + 1</f>
        <v>2</v>
      </c>
      <c r="B97">
        <f>INT((ROW()-2)/Calculations!$B$8) + 1</f>
        <v>48</v>
      </c>
      <c r="C97" t="e">
        <f>Calculations!$B$2+_xlfn.XLOOKUP(A97, Motors!A:A, Motors!D:D)*Calculations!$B$5+_xlfn.XLOOKUP(B97, Batteries!A:A, Batteries!C:C)</f>
        <v>#N/A</v>
      </c>
      <c r="D97" t="e">
        <f>C97*Calculations!$B$4/Calculations!$B$5</f>
        <v>#N/A</v>
      </c>
      <c r="E97" t="e">
        <f t="shared" si="1"/>
        <v>#N/A</v>
      </c>
      <c r="F97" s="2">
        <f>_xlfn.MAXIFS(Motors!$E$2:$E$75, Motors!$A$2:$A$75, A97)</f>
        <v>115</v>
      </c>
      <c r="G97" t="e" cm="1">
        <f t="array" ref="G97">INDEX(_xlfn._xlws.FILTER(Motors!$J$2:$J$75, Motors!$A$2:$A$75='Results (DO NOT EDIT)'!$A97), MATCH(TRUE, INDEX(ABS(_xlfn._xlws.FILTER(Motors!$G$2:$G$75, Motors!$A$2:$A$75='Results (DO NOT EDIT)'!$A97) - 'Results (DO NOT EDIT)'!$D97) = MIN(INDEX(ABS(_xlfn._xlws.FILTER(Motors!$G$2:$G$75, Motors!$A$2:$A$75='Results (DO NOT EDIT)'!$A97) - 'Results (DO NOT EDIT)'!$D97), 0)), 0), 0))</f>
        <v>#N/A</v>
      </c>
      <c r="H97" s="2" t="e" cm="1">
        <f t="array" ref="H97">INDEX(
  Motors!$I$2:$I$75,
  MATCH(1, (Motors!$A$2:$A$75='Results (DO NOT EDIT)'!A97)*(Motors!$J$2:$J$75='Results (DO NOT EDIT)'!G97), 0)
)</f>
        <v>#N/A</v>
      </c>
      <c r="I97" s="2" cm="1">
        <f t="array" ref="I97">_xlfn.XLOOKUP(A97, Batteries!A:A, Batteries!E:E*Batteries!F:F)/1000</f>
        <v>52.25</v>
      </c>
      <c r="J97" s="2" t="e" cm="1">
        <f t="array" ref="J97">_xlfn.XLOOKUP(B97, Batteries!A:A, Batteries!E:E*Batteries!G:G)/1000</f>
        <v>#N/A</v>
      </c>
      <c r="K97" t="e">
        <f>C97/H97/Calculations!$B$6 + Calculations!$B$3</f>
        <v>#N/A</v>
      </c>
      <c r="L97" t="e">
        <f>(C97*Calculations!$B$7/H97/Calculations!$B$6)</f>
        <v>#N/A</v>
      </c>
      <c r="M97" t="e">
        <f>(C97*Calculations!$B$7/H97/Calculations!$B$6) + Calculations!$B$3</f>
        <v>#N/A</v>
      </c>
      <c r="N97" t="e">
        <f>_xlfn.XLOOKUP(B97, Batteries!A:A, Batteries!E:E)/1000*60/K97</f>
        <v>#N/A</v>
      </c>
      <c r="O97" t="e">
        <f>_xlfn.XLOOKUP(A97, Motors!A:A, Motors!F:F)*4+_xlfn.XLOOKUP('Results (DO NOT EDIT)'!B97, Batteries!A:A, Batteries!D:D)</f>
        <v>#N/A</v>
      </c>
    </row>
    <row r="98" spans="1:15" ht="15" customHeight="1">
      <c r="A98">
        <f>MOD(ROW()-2, Calculations!$B$8) + 1</f>
        <v>1</v>
      </c>
      <c r="B98">
        <f>INT((ROW()-2)/Calculations!$B$8) + 1</f>
        <v>49</v>
      </c>
      <c r="C98" t="e">
        <f>Calculations!$B$2+_xlfn.XLOOKUP(A98, Motors!A:A, Motors!D:D)*Calculations!$B$5+_xlfn.XLOOKUP(B98, Batteries!A:A, Batteries!C:C)</f>
        <v>#N/A</v>
      </c>
      <c r="D98" t="e">
        <f>C98*Calculations!$B$4/Calculations!$B$5</f>
        <v>#N/A</v>
      </c>
      <c r="E98" t="e">
        <f t="shared" si="1"/>
        <v>#N/A</v>
      </c>
      <c r="F98" s="2">
        <f>_xlfn.MAXIFS(Motors!$E$2:$E$75, Motors!$A$2:$A$75, A98)</f>
        <v>156.57</v>
      </c>
      <c r="G98" t="e" cm="1">
        <f t="array" ref="G98">INDEX(_xlfn._xlws.FILTER(Motors!$J$2:$J$75, Motors!$A$2:$A$75='Results (DO NOT EDIT)'!$A98), MATCH(TRUE, INDEX(ABS(_xlfn._xlws.FILTER(Motors!$G$2:$G$75, Motors!$A$2:$A$75='Results (DO NOT EDIT)'!$A98) - 'Results (DO NOT EDIT)'!$D98) = MIN(INDEX(ABS(_xlfn._xlws.FILTER(Motors!$G$2:$G$75, Motors!$A$2:$A$75='Results (DO NOT EDIT)'!$A98) - 'Results (DO NOT EDIT)'!$D98), 0)), 0), 0))</f>
        <v>#N/A</v>
      </c>
      <c r="H98" s="2" t="e" cm="1">
        <f t="array" ref="H98">INDEX(
  Motors!$I$2:$I$75,
  MATCH(1, (Motors!$A$2:$A$75='Results (DO NOT EDIT)'!A98)*(Motors!$J$2:$J$75='Results (DO NOT EDIT)'!G98), 0)
)</f>
        <v>#N/A</v>
      </c>
      <c r="I98" s="2" cm="1">
        <f t="array" ref="I98">_xlfn.XLOOKUP(A98, Batteries!A:A, Batteries!E:E*Batteries!F:F)/1000</f>
        <v>72</v>
      </c>
      <c r="J98" s="2" t="e" cm="1">
        <f t="array" ref="J98">_xlfn.XLOOKUP(B98, Batteries!A:A, Batteries!E:E*Batteries!G:G)/1000</f>
        <v>#N/A</v>
      </c>
      <c r="K98" t="e">
        <f>C98/H98/Calculations!$B$6 + Calculations!$B$3</f>
        <v>#N/A</v>
      </c>
      <c r="L98" t="e">
        <f>(C98*Calculations!$B$7/H98/Calculations!$B$6)</f>
        <v>#N/A</v>
      </c>
      <c r="M98" t="e">
        <f>(C98*Calculations!$B$7/H98/Calculations!$B$6) + Calculations!$B$3</f>
        <v>#N/A</v>
      </c>
      <c r="N98" t="e">
        <f>_xlfn.XLOOKUP(B98, Batteries!A:A, Batteries!E:E)/1000*60/K98</f>
        <v>#N/A</v>
      </c>
      <c r="O98" t="e">
        <f>_xlfn.XLOOKUP(A98, Motors!A:A, Motors!F:F)*4+_xlfn.XLOOKUP('Results (DO NOT EDIT)'!B98, Batteries!A:A, Batteries!D:D)</f>
        <v>#N/A</v>
      </c>
    </row>
    <row r="99" spans="1:15" ht="15" customHeight="1">
      <c r="A99">
        <f>MOD(ROW()-2, Calculations!$B$8) + 1</f>
        <v>2</v>
      </c>
      <c r="B99">
        <f>INT((ROW()-2)/Calculations!$B$8) + 1</f>
        <v>49</v>
      </c>
      <c r="C99" t="e">
        <f>Calculations!$B$2+_xlfn.XLOOKUP(A99, Motors!A:A, Motors!D:D)*Calculations!$B$5+_xlfn.XLOOKUP(B99, Batteries!A:A, Batteries!C:C)</f>
        <v>#N/A</v>
      </c>
      <c r="D99" t="e">
        <f>C99*Calculations!$B$4/Calculations!$B$5</f>
        <v>#N/A</v>
      </c>
      <c r="E99" t="e">
        <f t="shared" si="1"/>
        <v>#N/A</v>
      </c>
      <c r="F99" s="2">
        <f>_xlfn.MAXIFS(Motors!$E$2:$E$75, Motors!$A$2:$A$75, A99)</f>
        <v>115</v>
      </c>
      <c r="G99" t="e" cm="1">
        <f t="array" ref="G99">INDEX(_xlfn._xlws.FILTER(Motors!$J$2:$J$75, Motors!$A$2:$A$75='Results (DO NOT EDIT)'!$A99), MATCH(TRUE, INDEX(ABS(_xlfn._xlws.FILTER(Motors!$G$2:$G$75, Motors!$A$2:$A$75='Results (DO NOT EDIT)'!$A99) - 'Results (DO NOT EDIT)'!$D99) = MIN(INDEX(ABS(_xlfn._xlws.FILTER(Motors!$G$2:$G$75, Motors!$A$2:$A$75='Results (DO NOT EDIT)'!$A99) - 'Results (DO NOT EDIT)'!$D99), 0)), 0), 0))</f>
        <v>#N/A</v>
      </c>
      <c r="H99" s="2" t="e" cm="1">
        <f t="array" ref="H99">INDEX(
  Motors!$I$2:$I$75,
  MATCH(1, (Motors!$A$2:$A$75='Results (DO NOT EDIT)'!A99)*(Motors!$J$2:$J$75='Results (DO NOT EDIT)'!G99), 0)
)</f>
        <v>#N/A</v>
      </c>
      <c r="I99" s="2" cm="1">
        <f t="array" ref="I99">_xlfn.XLOOKUP(A99, Batteries!A:A, Batteries!E:E*Batteries!F:F)/1000</f>
        <v>52.25</v>
      </c>
      <c r="J99" s="2" t="e" cm="1">
        <f t="array" ref="J99">_xlfn.XLOOKUP(B99, Batteries!A:A, Batteries!E:E*Batteries!G:G)/1000</f>
        <v>#N/A</v>
      </c>
      <c r="K99" t="e">
        <f>C99/H99/Calculations!$B$6 + Calculations!$B$3</f>
        <v>#N/A</v>
      </c>
      <c r="L99" t="e">
        <f>(C99*Calculations!$B$7/H99/Calculations!$B$6)</f>
        <v>#N/A</v>
      </c>
      <c r="M99" t="e">
        <f>(C99*Calculations!$B$7/H99/Calculations!$B$6) + Calculations!$B$3</f>
        <v>#N/A</v>
      </c>
      <c r="N99" t="e">
        <f>_xlfn.XLOOKUP(B99, Batteries!A:A, Batteries!E:E)/1000*60/K99</f>
        <v>#N/A</v>
      </c>
      <c r="O99" t="e">
        <f>_xlfn.XLOOKUP(A99, Motors!A:A, Motors!F:F)*4+_xlfn.XLOOKUP('Results (DO NOT EDIT)'!B99, Batteries!A:A, Batteries!D:D)</f>
        <v>#N/A</v>
      </c>
    </row>
    <row r="100" spans="1:15" ht="15" customHeight="1">
      <c r="A100">
        <f>MOD(ROW()-2, Calculations!$B$8) + 1</f>
        <v>1</v>
      </c>
      <c r="B100">
        <f>INT((ROW()-2)/Calculations!$B$8) + 1</f>
        <v>50</v>
      </c>
      <c r="C100" t="e">
        <f>Calculations!$B$2+_xlfn.XLOOKUP(A100, Motors!A:A, Motors!D:D)*Calculations!$B$5+_xlfn.XLOOKUP(B100, Batteries!A:A, Batteries!C:C)</f>
        <v>#N/A</v>
      </c>
      <c r="D100" t="e">
        <f>C100*Calculations!$B$4/Calculations!$B$5</f>
        <v>#N/A</v>
      </c>
      <c r="E100" t="e">
        <f t="shared" si="1"/>
        <v>#N/A</v>
      </c>
      <c r="F100" s="2">
        <f>_xlfn.MAXIFS(Motors!$E$2:$E$75, Motors!$A$2:$A$75, A100)</f>
        <v>156.57</v>
      </c>
      <c r="G100" t="e" cm="1">
        <f t="array" ref="G100">INDEX(_xlfn._xlws.FILTER(Motors!$J$2:$J$75, Motors!$A$2:$A$75='Results (DO NOT EDIT)'!$A100), MATCH(TRUE, INDEX(ABS(_xlfn._xlws.FILTER(Motors!$G$2:$G$75, Motors!$A$2:$A$75='Results (DO NOT EDIT)'!$A100) - 'Results (DO NOT EDIT)'!$D100) = MIN(INDEX(ABS(_xlfn._xlws.FILTER(Motors!$G$2:$G$75, Motors!$A$2:$A$75='Results (DO NOT EDIT)'!$A100) - 'Results (DO NOT EDIT)'!$D100), 0)), 0), 0))</f>
        <v>#N/A</v>
      </c>
      <c r="H100" s="2" t="e" cm="1">
        <f t="array" ref="H100">INDEX(
  Motors!$I$2:$I$75,
  MATCH(1, (Motors!$A$2:$A$75='Results (DO NOT EDIT)'!A100)*(Motors!$J$2:$J$75='Results (DO NOT EDIT)'!G100), 0)
)</f>
        <v>#N/A</v>
      </c>
      <c r="I100" s="2" cm="1">
        <f t="array" ref="I100">_xlfn.XLOOKUP(A100, Batteries!A:A, Batteries!E:E*Batteries!F:F)/1000</f>
        <v>72</v>
      </c>
      <c r="J100" s="2" t="e" cm="1">
        <f t="array" ref="J100">_xlfn.XLOOKUP(B100, Batteries!A:A, Batteries!E:E*Batteries!G:G)/1000</f>
        <v>#N/A</v>
      </c>
      <c r="K100" t="e">
        <f>C100/H100/Calculations!$B$6 + Calculations!$B$3</f>
        <v>#N/A</v>
      </c>
      <c r="L100" t="e">
        <f>(C100*Calculations!$B$7/H100/Calculations!$B$6)</f>
        <v>#N/A</v>
      </c>
      <c r="M100" t="e">
        <f>(C100*Calculations!$B$7/H100/Calculations!$B$6) + Calculations!$B$3</f>
        <v>#N/A</v>
      </c>
      <c r="N100" t="e">
        <f>_xlfn.XLOOKUP(B100, Batteries!A:A, Batteries!E:E)/1000*60/K100</f>
        <v>#N/A</v>
      </c>
      <c r="O100" t="e">
        <f>_xlfn.XLOOKUP(A100, Motors!A:A, Motors!F:F)*4+_xlfn.XLOOKUP('Results (DO NOT EDIT)'!B100, Batteries!A:A, Batteries!D:D)</f>
        <v>#N/A</v>
      </c>
    </row>
    <row r="101" spans="1:15" ht="15" customHeight="1">
      <c r="A101">
        <f>MOD(ROW()-2, Calculations!$B$8) + 1</f>
        <v>2</v>
      </c>
      <c r="B101">
        <f>INT((ROW()-2)/Calculations!$B$8) + 1</f>
        <v>50</v>
      </c>
      <c r="C101" t="e">
        <f>Calculations!$B$2+_xlfn.XLOOKUP(A101, Motors!A:A, Motors!D:D)*Calculations!$B$5+_xlfn.XLOOKUP(B101, Batteries!A:A, Batteries!C:C)</f>
        <v>#N/A</v>
      </c>
      <c r="D101" t="e">
        <f>C101*Calculations!$B$4/Calculations!$B$5</f>
        <v>#N/A</v>
      </c>
      <c r="E101" t="e">
        <f t="shared" si="1"/>
        <v>#N/A</v>
      </c>
      <c r="F101" s="2">
        <f>_xlfn.MAXIFS(Motors!$E$2:$E$75, Motors!$A$2:$A$75, A101)</f>
        <v>115</v>
      </c>
      <c r="G101" t="e" cm="1">
        <f t="array" ref="G101">INDEX(_xlfn._xlws.FILTER(Motors!$J$2:$J$75, Motors!$A$2:$A$75='Results (DO NOT EDIT)'!$A101), MATCH(TRUE, INDEX(ABS(_xlfn._xlws.FILTER(Motors!$G$2:$G$75, Motors!$A$2:$A$75='Results (DO NOT EDIT)'!$A101) - 'Results (DO NOT EDIT)'!$D101) = MIN(INDEX(ABS(_xlfn._xlws.FILTER(Motors!$G$2:$G$75, Motors!$A$2:$A$75='Results (DO NOT EDIT)'!$A101) - 'Results (DO NOT EDIT)'!$D101), 0)), 0), 0))</f>
        <v>#N/A</v>
      </c>
      <c r="H101" s="2" t="e" cm="1">
        <f t="array" ref="H101">INDEX(
  Motors!$I$2:$I$75,
  MATCH(1, (Motors!$A$2:$A$75='Results (DO NOT EDIT)'!A101)*(Motors!$J$2:$J$75='Results (DO NOT EDIT)'!G101), 0)
)</f>
        <v>#N/A</v>
      </c>
      <c r="I101" s="2" cm="1">
        <f t="array" ref="I101">_xlfn.XLOOKUP(A101, Batteries!A:A, Batteries!E:E*Batteries!F:F)/1000</f>
        <v>52.25</v>
      </c>
      <c r="J101" s="2" t="e" cm="1">
        <f t="array" ref="J101">_xlfn.XLOOKUP(B101, Batteries!A:A, Batteries!E:E*Batteries!G:G)/1000</f>
        <v>#N/A</v>
      </c>
      <c r="K101" t="e">
        <f>C101/H101/Calculations!$B$6 + Calculations!$B$3</f>
        <v>#N/A</v>
      </c>
      <c r="L101" t="e">
        <f>(C101*Calculations!$B$7/H101/Calculations!$B$6)</f>
        <v>#N/A</v>
      </c>
      <c r="M101" t="e">
        <f>(C101*Calculations!$B$7/H101/Calculations!$B$6) + Calculations!$B$3</f>
        <v>#N/A</v>
      </c>
      <c r="N101" t="e">
        <f>_xlfn.XLOOKUP(B101, Batteries!A:A, Batteries!E:E)/1000*60/K101</f>
        <v>#N/A</v>
      </c>
      <c r="O101" t="e">
        <f>_xlfn.XLOOKUP(A101, Motors!A:A, Motors!F:F)*4+_xlfn.XLOOKUP('Results (DO NOT EDIT)'!B101, Batteries!A:A, Batteries!D:D)</f>
        <v>#N/A</v>
      </c>
    </row>
    <row r="102" spans="1:15" ht="15" customHeight="1">
      <c r="A102">
        <f>MOD(ROW()-2, Calculations!$B$8) + 1</f>
        <v>1</v>
      </c>
      <c r="B102">
        <f>INT((ROW()-2)/Calculations!$B$8) + 1</f>
        <v>51</v>
      </c>
      <c r="C102" t="e">
        <f>Calculations!$B$2+_xlfn.XLOOKUP(A102, Motors!A:A, Motors!D:D)*Calculations!$B$5+_xlfn.XLOOKUP(B102, Batteries!A:A, Batteries!C:C)</f>
        <v>#N/A</v>
      </c>
      <c r="D102" t="e">
        <f>C102*Calculations!$B$4/Calculations!$B$5</f>
        <v>#N/A</v>
      </c>
      <c r="E102" t="e">
        <f t="shared" si="1"/>
        <v>#N/A</v>
      </c>
      <c r="F102" s="2">
        <f>_xlfn.MAXIFS(Motors!$E$2:$E$75, Motors!$A$2:$A$75, A102)</f>
        <v>156.57</v>
      </c>
      <c r="G102" t="e" cm="1">
        <f t="array" ref="G102">INDEX(_xlfn._xlws.FILTER(Motors!$J$2:$J$75, Motors!$A$2:$A$75='Results (DO NOT EDIT)'!$A102), MATCH(TRUE, INDEX(ABS(_xlfn._xlws.FILTER(Motors!$G$2:$G$75, Motors!$A$2:$A$75='Results (DO NOT EDIT)'!$A102) - 'Results (DO NOT EDIT)'!$D102) = MIN(INDEX(ABS(_xlfn._xlws.FILTER(Motors!$G$2:$G$75, Motors!$A$2:$A$75='Results (DO NOT EDIT)'!$A102) - 'Results (DO NOT EDIT)'!$D102), 0)), 0), 0))</f>
        <v>#N/A</v>
      </c>
      <c r="H102" s="2" t="e" cm="1">
        <f t="array" ref="H102">INDEX(
  Motors!$I$2:$I$75,
  MATCH(1, (Motors!$A$2:$A$75='Results (DO NOT EDIT)'!A102)*(Motors!$J$2:$J$75='Results (DO NOT EDIT)'!G102), 0)
)</f>
        <v>#N/A</v>
      </c>
      <c r="I102" s="2" cm="1">
        <f t="array" ref="I102">_xlfn.XLOOKUP(A102, Batteries!A:A, Batteries!E:E*Batteries!F:F)/1000</f>
        <v>72</v>
      </c>
      <c r="J102" s="2" t="e" cm="1">
        <f t="array" ref="J102">_xlfn.XLOOKUP(B102, Batteries!A:A, Batteries!E:E*Batteries!G:G)/1000</f>
        <v>#N/A</v>
      </c>
      <c r="K102" t="e">
        <f>C102/H102/Calculations!$B$6 + Calculations!$B$3</f>
        <v>#N/A</v>
      </c>
      <c r="L102" t="e">
        <f>(C102*Calculations!$B$7/H102/Calculations!$B$6)</f>
        <v>#N/A</v>
      </c>
      <c r="M102" t="e">
        <f>(C102*Calculations!$B$7/H102/Calculations!$B$6) + Calculations!$B$3</f>
        <v>#N/A</v>
      </c>
      <c r="N102" t="e">
        <f>_xlfn.XLOOKUP(B102, Batteries!A:A, Batteries!E:E)/1000*60/K102</f>
        <v>#N/A</v>
      </c>
      <c r="O102" t="e">
        <f>_xlfn.XLOOKUP(A102, Motors!A:A, Motors!F:F)*4+_xlfn.XLOOKUP('Results (DO NOT EDIT)'!B102, Batteries!A:A, Batteries!D:D)</f>
        <v>#N/A</v>
      </c>
    </row>
    <row r="103" spans="1:15" ht="15" customHeight="1">
      <c r="A103">
        <f>MOD(ROW()-2, Calculations!$B$8) + 1</f>
        <v>2</v>
      </c>
      <c r="B103">
        <f>INT((ROW()-2)/Calculations!$B$8) + 1</f>
        <v>51</v>
      </c>
      <c r="C103" t="e">
        <f>Calculations!$B$2+_xlfn.XLOOKUP(A103, Motors!A:A, Motors!D:D)*Calculations!$B$5+_xlfn.XLOOKUP(B103, Batteries!A:A, Batteries!C:C)</f>
        <v>#N/A</v>
      </c>
      <c r="D103" t="e">
        <f>C103*Calculations!$B$4/Calculations!$B$5</f>
        <v>#N/A</v>
      </c>
      <c r="E103" t="e">
        <f t="shared" si="1"/>
        <v>#N/A</v>
      </c>
      <c r="F103" s="2">
        <f>_xlfn.MAXIFS(Motors!$E$2:$E$75, Motors!$A$2:$A$75, A103)</f>
        <v>115</v>
      </c>
      <c r="G103" t="e" cm="1">
        <f t="array" ref="G103">INDEX(_xlfn._xlws.FILTER(Motors!$J$2:$J$75, Motors!$A$2:$A$75='Results (DO NOT EDIT)'!$A103), MATCH(TRUE, INDEX(ABS(_xlfn._xlws.FILTER(Motors!$G$2:$G$75, Motors!$A$2:$A$75='Results (DO NOT EDIT)'!$A103) - 'Results (DO NOT EDIT)'!$D103) = MIN(INDEX(ABS(_xlfn._xlws.FILTER(Motors!$G$2:$G$75, Motors!$A$2:$A$75='Results (DO NOT EDIT)'!$A103) - 'Results (DO NOT EDIT)'!$D103), 0)), 0), 0))</f>
        <v>#N/A</v>
      </c>
      <c r="H103" s="2" t="e" cm="1">
        <f t="array" ref="H103">INDEX(
  Motors!$I$2:$I$75,
  MATCH(1, (Motors!$A$2:$A$75='Results (DO NOT EDIT)'!A103)*(Motors!$J$2:$J$75='Results (DO NOT EDIT)'!G103), 0)
)</f>
        <v>#N/A</v>
      </c>
      <c r="I103" s="2" cm="1">
        <f t="array" ref="I103">_xlfn.XLOOKUP(A103, Batteries!A:A, Batteries!E:E*Batteries!F:F)/1000</f>
        <v>52.25</v>
      </c>
      <c r="J103" s="2" t="e" cm="1">
        <f t="array" ref="J103">_xlfn.XLOOKUP(B103, Batteries!A:A, Batteries!E:E*Batteries!G:G)/1000</f>
        <v>#N/A</v>
      </c>
      <c r="K103" t="e">
        <f>C103/H103/Calculations!$B$6 + Calculations!$B$3</f>
        <v>#N/A</v>
      </c>
      <c r="L103" t="e">
        <f>(C103*Calculations!$B$7/H103/Calculations!$B$6)</f>
        <v>#N/A</v>
      </c>
      <c r="M103" t="e">
        <f>(C103*Calculations!$B$7/H103/Calculations!$B$6) + Calculations!$B$3</f>
        <v>#N/A</v>
      </c>
      <c r="N103" t="e">
        <f>_xlfn.XLOOKUP(B103, Batteries!A:A, Batteries!E:E)/1000*60/K103</f>
        <v>#N/A</v>
      </c>
      <c r="O103" t="e">
        <f>_xlfn.XLOOKUP(A103, Motors!A:A, Motors!F:F)*4+_xlfn.XLOOKUP('Results (DO NOT EDIT)'!B103, Batteries!A:A, Batteries!D:D)</f>
        <v>#N/A</v>
      </c>
    </row>
    <row r="104" spans="1:15" ht="15" customHeight="1">
      <c r="A104">
        <f>MOD(ROW()-2, Calculations!$B$8) + 1</f>
        <v>1</v>
      </c>
      <c r="B104">
        <f>INT((ROW()-2)/Calculations!$B$8) + 1</f>
        <v>52</v>
      </c>
      <c r="C104" t="e">
        <f>Calculations!$B$2+_xlfn.XLOOKUP(A104, Motors!A:A, Motors!D:D)*Calculations!$B$5+_xlfn.XLOOKUP(B104, Batteries!A:A, Batteries!C:C)</f>
        <v>#N/A</v>
      </c>
      <c r="D104" t="e">
        <f>C104*Calculations!$B$4/Calculations!$B$5</f>
        <v>#N/A</v>
      </c>
      <c r="E104" t="e">
        <f t="shared" si="1"/>
        <v>#N/A</v>
      </c>
      <c r="F104" s="2">
        <f>_xlfn.MAXIFS(Motors!$E$2:$E$75, Motors!$A$2:$A$75, A104)</f>
        <v>156.57</v>
      </c>
      <c r="G104" t="e" cm="1">
        <f t="array" ref="G104">INDEX(_xlfn._xlws.FILTER(Motors!$J$2:$J$75, Motors!$A$2:$A$75='Results (DO NOT EDIT)'!$A104), MATCH(TRUE, INDEX(ABS(_xlfn._xlws.FILTER(Motors!$G$2:$G$75, Motors!$A$2:$A$75='Results (DO NOT EDIT)'!$A104) - 'Results (DO NOT EDIT)'!$D104) = MIN(INDEX(ABS(_xlfn._xlws.FILTER(Motors!$G$2:$G$75, Motors!$A$2:$A$75='Results (DO NOT EDIT)'!$A104) - 'Results (DO NOT EDIT)'!$D104), 0)), 0), 0))</f>
        <v>#N/A</v>
      </c>
      <c r="H104" s="2" t="e" cm="1">
        <f t="array" ref="H104">INDEX(
  Motors!$I$2:$I$75,
  MATCH(1, (Motors!$A$2:$A$75='Results (DO NOT EDIT)'!A104)*(Motors!$J$2:$J$75='Results (DO NOT EDIT)'!G104), 0)
)</f>
        <v>#N/A</v>
      </c>
      <c r="I104" s="2" cm="1">
        <f t="array" ref="I104">_xlfn.XLOOKUP(A104, Batteries!A:A, Batteries!E:E*Batteries!F:F)/1000</f>
        <v>72</v>
      </c>
      <c r="J104" s="2" t="e" cm="1">
        <f t="array" ref="J104">_xlfn.XLOOKUP(B104, Batteries!A:A, Batteries!E:E*Batteries!G:G)/1000</f>
        <v>#N/A</v>
      </c>
      <c r="K104" t="e">
        <f>C104/H104/Calculations!$B$6 + Calculations!$B$3</f>
        <v>#N/A</v>
      </c>
      <c r="L104" t="e">
        <f>(C104*Calculations!$B$7/H104/Calculations!$B$6)</f>
        <v>#N/A</v>
      </c>
      <c r="M104" t="e">
        <f>(C104*Calculations!$B$7/H104/Calculations!$B$6) + Calculations!$B$3</f>
        <v>#N/A</v>
      </c>
      <c r="N104" t="e">
        <f>_xlfn.XLOOKUP(B104, Batteries!A:A, Batteries!E:E)/1000*60/K104</f>
        <v>#N/A</v>
      </c>
      <c r="O104" t="e">
        <f>_xlfn.XLOOKUP(A104, Motors!A:A, Motors!F:F)*4+_xlfn.XLOOKUP('Results (DO NOT EDIT)'!B104, Batteries!A:A, Batteries!D:D)</f>
        <v>#N/A</v>
      </c>
    </row>
    <row r="105" spans="1:15" ht="15" customHeight="1">
      <c r="A105">
        <f>MOD(ROW()-2, Calculations!$B$8) + 1</f>
        <v>2</v>
      </c>
      <c r="B105">
        <f>INT((ROW()-2)/Calculations!$B$8) + 1</f>
        <v>52</v>
      </c>
      <c r="C105" t="e">
        <f>Calculations!$B$2+_xlfn.XLOOKUP(A105, Motors!A:A, Motors!D:D)*Calculations!$B$5+_xlfn.XLOOKUP(B105, Batteries!A:A, Batteries!C:C)</f>
        <v>#N/A</v>
      </c>
      <c r="D105" t="e">
        <f>C105*Calculations!$B$4/Calculations!$B$5</f>
        <v>#N/A</v>
      </c>
      <c r="E105" t="e">
        <f t="shared" si="1"/>
        <v>#N/A</v>
      </c>
      <c r="F105" s="2">
        <f>_xlfn.MAXIFS(Motors!$E$2:$E$75, Motors!$A$2:$A$75, A105)</f>
        <v>115</v>
      </c>
      <c r="G105" t="e" cm="1">
        <f t="array" ref="G105">INDEX(_xlfn._xlws.FILTER(Motors!$J$2:$J$75, Motors!$A$2:$A$75='Results (DO NOT EDIT)'!$A105), MATCH(TRUE, INDEX(ABS(_xlfn._xlws.FILTER(Motors!$G$2:$G$75, Motors!$A$2:$A$75='Results (DO NOT EDIT)'!$A105) - 'Results (DO NOT EDIT)'!$D105) = MIN(INDEX(ABS(_xlfn._xlws.FILTER(Motors!$G$2:$G$75, Motors!$A$2:$A$75='Results (DO NOT EDIT)'!$A105) - 'Results (DO NOT EDIT)'!$D105), 0)), 0), 0))</f>
        <v>#N/A</v>
      </c>
      <c r="H105" s="2" t="e" cm="1">
        <f t="array" ref="H105">INDEX(
  Motors!$I$2:$I$75,
  MATCH(1, (Motors!$A$2:$A$75='Results (DO NOT EDIT)'!A105)*(Motors!$J$2:$J$75='Results (DO NOT EDIT)'!G105), 0)
)</f>
        <v>#N/A</v>
      </c>
      <c r="I105" s="2" cm="1">
        <f t="array" ref="I105">_xlfn.XLOOKUP(A105, Batteries!A:A, Batteries!E:E*Batteries!F:F)/1000</f>
        <v>52.25</v>
      </c>
      <c r="J105" s="2" t="e" cm="1">
        <f t="array" ref="J105">_xlfn.XLOOKUP(B105, Batteries!A:A, Batteries!E:E*Batteries!G:G)/1000</f>
        <v>#N/A</v>
      </c>
      <c r="K105" t="e">
        <f>C105/H105/Calculations!$B$6 + Calculations!$B$3</f>
        <v>#N/A</v>
      </c>
      <c r="L105" t="e">
        <f>(C105*Calculations!$B$7/H105/Calculations!$B$6)</f>
        <v>#N/A</v>
      </c>
      <c r="M105" t="e">
        <f>(C105*Calculations!$B$7/H105/Calculations!$B$6) + Calculations!$B$3</f>
        <v>#N/A</v>
      </c>
      <c r="N105" t="e">
        <f>_xlfn.XLOOKUP(B105, Batteries!A:A, Batteries!E:E)/1000*60/K105</f>
        <v>#N/A</v>
      </c>
      <c r="O105" t="e">
        <f>_xlfn.XLOOKUP(A105, Motors!A:A, Motors!F:F)*4+_xlfn.XLOOKUP('Results (DO NOT EDIT)'!B105, Batteries!A:A, Batteries!D:D)</f>
        <v>#N/A</v>
      </c>
    </row>
    <row r="106" spans="1:15" ht="15" customHeight="1">
      <c r="A106">
        <f>MOD(ROW()-2, Calculations!$B$8) + 1</f>
        <v>1</v>
      </c>
      <c r="B106">
        <f>INT((ROW()-2)/Calculations!$B$8) + 1</f>
        <v>53</v>
      </c>
      <c r="C106" t="e">
        <f>Calculations!$B$2+_xlfn.XLOOKUP(A106, Motors!A:A, Motors!D:D)*Calculations!$B$5+_xlfn.XLOOKUP(B106, Batteries!A:A, Batteries!C:C)</f>
        <v>#N/A</v>
      </c>
      <c r="D106" t="e">
        <f>C106*Calculations!$B$4/Calculations!$B$5</f>
        <v>#N/A</v>
      </c>
      <c r="E106" t="e">
        <f t="shared" si="1"/>
        <v>#N/A</v>
      </c>
      <c r="F106" s="2">
        <f>_xlfn.MAXIFS(Motors!$E$2:$E$75, Motors!$A$2:$A$75, A106)</f>
        <v>156.57</v>
      </c>
      <c r="G106" t="e" cm="1">
        <f t="array" ref="G106">INDEX(_xlfn._xlws.FILTER(Motors!$J$2:$J$75, Motors!$A$2:$A$75='Results (DO NOT EDIT)'!$A106), MATCH(TRUE, INDEX(ABS(_xlfn._xlws.FILTER(Motors!$G$2:$G$75, Motors!$A$2:$A$75='Results (DO NOT EDIT)'!$A106) - 'Results (DO NOT EDIT)'!$D106) = MIN(INDEX(ABS(_xlfn._xlws.FILTER(Motors!$G$2:$G$75, Motors!$A$2:$A$75='Results (DO NOT EDIT)'!$A106) - 'Results (DO NOT EDIT)'!$D106), 0)), 0), 0))</f>
        <v>#N/A</v>
      </c>
      <c r="H106" s="2" t="e" cm="1">
        <f t="array" ref="H106">INDEX(
  Motors!$I$2:$I$75,
  MATCH(1, (Motors!$A$2:$A$75='Results (DO NOT EDIT)'!A106)*(Motors!$J$2:$J$75='Results (DO NOT EDIT)'!G106), 0)
)</f>
        <v>#N/A</v>
      </c>
      <c r="I106" s="2" cm="1">
        <f t="array" ref="I106">_xlfn.XLOOKUP(A106, Batteries!A:A, Batteries!E:E*Batteries!F:F)/1000</f>
        <v>72</v>
      </c>
      <c r="J106" s="2" t="e" cm="1">
        <f t="array" ref="J106">_xlfn.XLOOKUP(B106, Batteries!A:A, Batteries!E:E*Batteries!G:G)/1000</f>
        <v>#N/A</v>
      </c>
      <c r="K106" t="e">
        <f>C106/H106/Calculations!$B$6 + Calculations!$B$3</f>
        <v>#N/A</v>
      </c>
      <c r="L106" t="e">
        <f>(C106*Calculations!$B$7/H106/Calculations!$B$6)</f>
        <v>#N/A</v>
      </c>
      <c r="M106" t="e">
        <f>(C106*Calculations!$B$7/H106/Calculations!$B$6) + Calculations!$B$3</f>
        <v>#N/A</v>
      </c>
      <c r="N106" t="e">
        <f>_xlfn.XLOOKUP(B106, Batteries!A:A, Batteries!E:E)/1000*60/K106</f>
        <v>#N/A</v>
      </c>
      <c r="O106" t="e">
        <f>_xlfn.XLOOKUP(A106, Motors!A:A, Motors!F:F)*4+_xlfn.XLOOKUP('Results (DO NOT EDIT)'!B106, Batteries!A:A, Batteries!D:D)</f>
        <v>#N/A</v>
      </c>
    </row>
    <row r="107" spans="1:15" ht="15" customHeight="1">
      <c r="A107">
        <f>MOD(ROW()-2, Calculations!$B$8) + 1</f>
        <v>2</v>
      </c>
      <c r="B107">
        <f>INT((ROW()-2)/Calculations!$B$8) + 1</f>
        <v>53</v>
      </c>
      <c r="C107" t="e">
        <f>Calculations!$B$2+_xlfn.XLOOKUP(A107, Motors!A:A, Motors!D:D)*Calculations!$B$5+_xlfn.XLOOKUP(B107, Batteries!A:A, Batteries!C:C)</f>
        <v>#N/A</v>
      </c>
      <c r="D107" t="e">
        <f>C107*Calculations!$B$4/Calculations!$B$5</f>
        <v>#N/A</v>
      </c>
      <c r="E107" t="e">
        <f t="shared" si="1"/>
        <v>#N/A</v>
      </c>
      <c r="F107" s="2">
        <f>_xlfn.MAXIFS(Motors!$E$2:$E$75, Motors!$A$2:$A$75, A107)</f>
        <v>115</v>
      </c>
      <c r="G107" t="e" cm="1">
        <f t="array" ref="G107">INDEX(_xlfn._xlws.FILTER(Motors!$J$2:$J$75, Motors!$A$2:$A$75='Results (DO NOT EDIT)'!$A107), MATCH(TRUE, INDEX(ABS(_xlfn._xlws.FILTER(Motors!$G$2:$G$75, Motors!$A$2:$A$75='Results (DO NOT EDIT)'!$A107) - 'Results (DO NOT EDIT)'!$D107) = MIN(INDEX(ABS(_xlfn._xlws.FILTER(Motors!$G$2:$G$75, Motors!$A$2:$A$75='Results (DO NOT EDIT)'!$A107) - 'Results (DO NOT EDIT)'!$D107), 0)), 0), 0))</f>
        <v>#N/A</v>
      </c>
      <c r="H107" s="2" t="e" cm="1">
        <f t="array" ref="H107">INDEX(
  Motors!$I$2:$I$75,
  MATCH(1, (Motors!$A$2:$A$75='Results (DO NOT EDIT)'!A107)*(Motors!$J$2:$J$75='Results (DO NOT EDIT)'!G107), 0)
)</f>
        <v>#N/A</v>
      </c>
      <c r="I107" s="2" cm="1">
        <f t="array" ref="I107">_xlfn.XLOOKUP(A107, Batteries!A:A, Batteries!E:E*Batteries!F:F)/1000</f>
        <v>52.25</v>
      </c>
      <c r="J107" s="2" t="e" cm="1">
        <f t="array" ref="J107">_xlfn.XLOOKUP(B107, Batteries!A:A, Batteries!E:E*Batteries!G:G)/1000</f>
        <v>#N/A</v>
      </c>
      <c r="K107" t="e">
        <f>C107/H107/Calculations!$B$6 + Calculations!$B$3</f>
        <v>#N/A</v>
      </c>
      <c r="L107" t="e">
        <f>(C107*Calculations!$B$7/H107/Calculations!$B$6)</f>
        <v>#N/A</v>
      </c>
      <c r="M107" t="e">
        <f>(C107*Calculations!$B$7/H107/Calculations!$B$6) + Calculations!$B$3</f>
        <v>#N/A</v>
      </c>
      <c r="N107" t="e">
        <f>_xlfn.XLOOKUP(B107, Batteries!A:A, Batteries!E:E)/1000*60/K107</f>
        <v>#N/A</v>
      </c>
      <c r="O107" t="e">
        <f>_xlfn.XLOOKUP(A107, Motors!A:A, Motors!F:F)*4+_xlfn.XLOOKUP('Results (DO NOT EDIT)'!B107, Batteries!A:A, Batteries!D:D)</f>
        <v>#N/A</v>
      </c>
    </row>
    <row r="108" spans="1:15" ht="15" customHeight="1">
      <c r="A108">
        <f>MOD(ROW()-2, Calculations!$B$8) + 1</f>
        <v>1</v>
      </c>
      <c r="B108">
        <f>INT((ROW()-2)/Calculations!$B$8) + 1</f>
        <v>54</v>
      </c>
      <c r="C108" t="e">
        <f>Calculations!$B$2+_xlfn.XLOOKUP(A108, Motors!A:A, Motors!D:D)*Calculations!$B$5+_xlfn.XLOOKUP(B108, Batteries!A:A, Batteries!C:C)</f>
        <v>#N/A</v>
      </c>
      <c r="D108" t="e">
        <f>C108*Calculations!$B$4/Calculations!$B$5</f>
        <v>#N/A</v>
      </c>
      <c r="E108" t="e">
        <f t="shared" si="1"/>
        <v>#N/A</v>
      </c>
      <c r="F108" s="2">
        <f>_xlfn.MAXIFS(Motors!$E$2:$E$75, Motors!$A$2:$A$75, A108)</f>
        <v>156.57</v>
      </c>
      <c r="G108" t="e" cm="1">
        <f t="array" ref="G108">INDEX(_xlfn._xlws.FILTER(Motors!$J$2:$J$75, Motors!$A$2:$A$75='Results (DO NOT EDIT)'!$A108), MATCH(TRUE, INDEX(ABS(_xlfn._xlws.FILTER(Motors!$G$2:$G$75, Motors!$A$2:$A$75='Results (DO NOT EDIT)'!$A108) - 'Results (DO NOT EDIT)'!$D108) = MIN(INDEX(ABS(_xlfn._xlws.FILTER(Motors!$G$2:$G$75, Motors!$A$2:$A$75='Results (DO NOT EDIT)'!$A108) - 'Results (DO NOT EDIT)'!$D108), 0)), 0), 0))</f>
        <v>#N/A</v>
      </c>
      <c r="H108" s="2" t="e" cm="1">
        <f t="array" ref="H108">INDEX(
  Motors!$I$2:$I$75,
  MATCH(1, (Motors!$A$2:$A$75='Results (DO NOT EDIT)'!A108)*(Motors!$J$2:$J$75='Results (DO NOT EDIT)'!G108), 0)
)</f>
        <v>#N/A</v>
      </c>
      <c r="I108" s="2" cm="1">
        <f t="array" ref="I108">_xlfn.XLOOKUP(A108, Batteries!A:A, Batteries!E:E*Batteries!F:F)/1000</f>
        <v>72</v>
      </c>
      <c r="J108" s="2" t="e" cm="1">
        <f t="array" ref="J108">_xlfn.XLOOKUP(B108, Batteries!A:A, Batteries!E:E*Batteries!G:G)/1000</f>
        <v>#N/A</v>
      </c>
      <c r="K108" t="e">
        <f>C108/H108/Calculations!$B$6 + Calculations!$B$3</f>
        <v>#N/A</v>
      </c>
      <c r="L108" t="e">
        <f>(C108*Calculations!$B$7/H108/Calculations!$B$6)</f>
        <v>#N/A</v>
      </c>
      <c r="M108" t="e">
        <f>(C108*Calculations!$B$7/H108/Calculations!$B$6) + Calculations!$B$3</f>
        <v>#N/A</v>
      </c>
      <c r="N108" t="e">
        <f>_xlfn.XLOOKUP(B108, Batteries!A:A, Batteries!E:E)/1000*60/K108</f>
        <v>#N/A</v>
      </c>
      <c r="O108" t="e">
        <f>_xlfn.XLOOKUP(A108, Motors!A:A, Motors!F:F)*4+_xlfn.XLOOKUP('Results (DO NOT EDIT)'!B108, Batteries!A:A, Batteries!D:D)</f>
        <v>#N/A</v>
      </c>
    </row>
    <row r="109" spans="1:15" ht="15" customHeight="1">
      <c r="A109">
        <f>MOD(ROW()-2, Calculations!$B$8) + 1</f>
        <v>2</v>
      </c>
      <c r="B109">
        <f>INT((ROW()-2)/Calculations!$B$8) + 1</f>
        <v>54</v>
      </c>
      <c r="C109" t="e">
        <f>Calculations!$B$2+_xlfn.XLOOKUP(A109, Motors!A:A, Motors!D:D)*Calculations!$B$5+_xlfn.XLOOKUP(B109, Batteries!A:A, Batteries!C:C)</f>
        <v>#N/A</v>
      </c>
      <c r="D109" t="e">
        <f>C109*Calculations!$B$4/Calculations!$B$5</f>
        <v>#N/A</v>
      </c>
      <c r="E109" t="e">
        <f t="shared" si="1"/>
        <v>#N/A</v>
      </c>
      <c r="F109" s="2">
        <f>_xlfn.MAXIFS(Motors!$E$2:$E$75, Motors!$A$2:$A$75, A109)</f>
        <v>115</v>
      </c>
      <c r="G109" t="e" cm="1">
        <f t="array" ref="G109">INDEX(_xlfn._xlws.FILTER(Motors!$J$2:$J$75, Motors!$A$2:$A$75='Results (DO NOT EDIT)'!$A109), MATCH(TRUE, INDEX(ABS(_xlfn._xlws.FILTER(Motors!$G$2:$G$75, Motors!$A$2:$A$75='Results (DO NOT EDIT)'!$A109) - 'Results (DO NOT EDIT)'!$D109) = MIN(INDEX(ABS(_xlfn._xlws.FILTER(Motors!$G$2:$G$75, Motors!$A$2:$A$75='Results (DO NOT EDIT)'!$A109) - 'Results (DO NOT EDIT)'!$D109), 0)), 0), 0))</f>
        <v>#N/A</v>
      </c>
      <c r="H109" s="2" t="e" cm="1">
        <f t="array" ref="H109">INDEX(
  Motors!$I$2:$I$75,
  MATCH(1, (Motors!$A$2:$A$75='Results (DO NOT EDIT)'!A109)*(Motors!$J$2:$J$75='Results (DO NOT EDIT)'!G109), 0)
)</f>
        <v>#N/A</v>
      </c>
      <c r="I109" s="2" cm="1">
        <f t="array" ref="I109">_xlfn.XLOOKUP(A109, Batteries!A:A, Batteries!E:E*Batteries!F:F)/1000</f>
        <v>52.25</v>
      </c>
      <c r="J109" s="2" t="e" cm="1">
        <f t="array" ref="J109">_xlfn.XLOOKUP(B109, Batteries!A:A, Batteries!E:E*Batteries!G:G)/1000</f>
        <v>#N/A</v>
      </c>
      <c r="K109" t="e">
        <f>C109/H109/Calculations!$B$6 + Calculations!$B$3</f>
        <v>#N/A</v>
      </c>
      <c r="L109" t="e">
        <f>(C109*Calculations!$B$7/H109/Calculations!$B$6)</f>
        <v>#N/A</v>
      </c>
      <c r="M109" t="e">
        <f>(C109*Calculations!$B$7/H109/Calculations!$B$6) + Calculations!$B$3</f>
        <v>#N/A</v>
      </c>
      <c r="N109" t="e">
        <f>_xlfn.XLOOKUP(B109, Batteries!A:A, Batteries!E:E)/1000*60/K109</f>
        <v>#N/A</v>
      </c>
      <c r="O109" t="e">
        <f>_xlfn.XLOOKUP(A109, Motors!A:A, Motors!F:F)*4+_xlfn.XLOOKUP('Results (DO NOT EDIT)'!B109, Batteries!A:A, Batteries!D:D)</f>
        <v>#N/A</v>
      </c>
    </row>
    <row r="110" spans="1:15" ht="15" customHeight="1">
      <c r="A110">
        <f>MOD(ROW()-2, Calculations!$B$8) + 1</f>
        <v>1</v>
      </c>
      <c r="B110">
        <f>INT((ROW()-2)/Calculations!$B$8) + 1</f>
        <v>55</v>
      </c>
      <c r="C110" t="e">
        <f>Calculations!$B$2+_xlfn.XLOOKUP(A110, Motors!A:A, Motors!D:D)*Calculations!$B$5+_xlfn.XLOOKUP(B110, Batteries!A:A, Batteries!C:C)</f>
        <v>#N/A</v>
      </c>
      <c r="D110" t="e">
        <f>C110*Calculations!$B$4/Calculations!$B$5</f>
        <v>#N/A</v>
      </c>
      <c r="E110" t="e">
        <f t="shared" si="1"/>
        <v>#N/A</v>
      </c>
      <c r="F110" s="2">
        <f>_xlfn.MAXIFS(Motors!$E$2:$E$75, Motors!$A$2:$A$75, A110)</f>
        <v>156.57</v>
      </c>
      <c r="G110" t="e" cm="1">
        <f t="array" ref="G110">INDEX(_xlfn._xlws.FILTER(Motors!$J$2:$J$75, Motors!$A$2:$A$75='Results (DO NOT EDIT)'!$A110), MATCH(TRUE, INDEX(ABS(_xlfn._xlws.FILTER(Motors!$G$2:$G$75, Motors!$A$2:$A$75='Results (DO NOT EDIT)'!$A110) - 'Results (DO NOT EDIT)'!$D110) = MIN(INDEX(ABS(_xlfn._xlws.FILTER(Motors!$G$2:$G$75, Motors!$A$2:$A$75='Results (DO NOT EDIT)'!$A110) - 'Results (DO NOT EDIT)'!$D110), 0)), 0), 0))</f>
        <v>#N/A</v>
      </c>
      <c r="H110" s="2" t="e" cm="1">
        <f t="array" ref="H110">INDEX(
  Motors!$I$2:$I$75,
  MATCH(1, (Motors!$A$2:$A$75='Results (DO NOT EDIT)'!A110)*(Motors!$J$2:$J$75='Results (DO NOT EDIT)'!G110), 0)
)</f>
        <v>#N/A</v>
      </c>
      <c r="I110" s="2" cm="1">
        <f t="array" ref="I110">_xlfn.XLOOKUP(A110, Batteries!A:A, Batteries!E:E*Batteries!F:F)/1000</f>
        <v>72</v>
      </c>
      <c r="J110" s="2" t="e" cm="1">
        <f t="array" ref="J110">_xlfn.XLOOKUP(B110, Batteries!A:A, Batteries!E:E*Batteries!G:G)/1000</f>
        <v>#N/A</v>
      </c>
      <c r="K110" t="e">
        <f>C110/H110/Calculations!$B$6 + Calculations!$B$3</f>
        <v>#N/A</v>
      </c>
      <c r="L110" t="e">
        <f>(C110*Calculations!$B$7/H110/Calculations!$B$6)</f>
        <v>#N/A</v>
      </c>
      <c r="M110" t="e">
        <f>(C110*Calculations!$B$7/H110/Calculations!$B$6) + Calculations!$B$3</f>
        <v>#N/A</v>
      </c>
      <c r="N110" t="e">
        <f>_xlfn.XLOOKUP(B110, Batteries!A:A, Batteries!E:E)/1000*60/K110</f>
        <v>#N/A</v>
      </c>
      <c r="O110" t="e">
        <f>_xlfn.XLOOKUP(A110, Motors!A:A, Motors!F:F)*4+_xlfn.XLOOKUP('Results (DO NOT EDIT)'!B110, Batteries!A:A, Batteries!D:D)</f>
        <v>#N/A</v>
      </c>
    </row>
    <row r="111" spans="1:15" ht="15" customHeight="1">
      <c r="A111">
        <f>MOD(ROW()-2, Calculations!$B$8) + 1</f>
        <v>2</v>
      </c>
      <c r="B111">
        <f>INT((ROW()-2)/Calculations!$B$8) + 1</f>
        <v>55</v>
      </c>
      <c r="C111" t="e">
        <f>Calculations!$B$2+_xlfn.XLOOKUP(A111, Motors!A:A, Motors!D:D)*Calculations!$B$5+_xlfn.XLOOKUP(B111, Batteries!A:A, Batteries!C:C)</f>
        <v>#N/A</v>
      </c>
      <c r="D111" t="e">
        <f>C111*Calculations!$B$4/Calculations!$B$5</f>
        <v>#N/A</v>
      </c>
      <c r="E111" t="e">
        <f t="shared" si="1"/>
        <v>#N/A</v>
      </c>
      <c r="F111" s="2">
        <f>_xlfn.MAXIFS(Motors!$E$2:$E$75, Motors!$A$2:$A$75, A111)</f>
        <v>115</v>
      </c>
      <c r="G111" t="e" cm="1">
        <f t="array" ref="G111">INDEX(_xlfn._xlws.FILTER(Motors!$J$2:$J$75, Motors!$A$2:$A$75='Results (DO NOT EDIT)'!$A111), MATCH(TRUE, INDEX(ABS(_xlfn._xlws.FILTER(Motors!$G$2:$G$75, Motors!$A$2:$A$75='Results (DO NOT EDIT)'!$A111) - 'Results (DO NOT EDIT)'!$D111) = MIN(INDEX(ABS(_xlfn._xlws.FILTER(Motors!$G$2:$G$75, Motors!$A$2:$A$75='Results (DO NOT EDIT)'!$A111) - 'Results (DO NOT EDIT)'!$D111), 0)), 0), 0))</f>
        <v>#N/A</v>
      </c>
      <c r="H111" s="2" t="e" cm="1">
        <f t="array" ref="H111">INDEX(
  Motors!$I$2:$I$75,
  MATCH(1, (Motors!$A$2:$A$75='Results (DO NOT EDIT)'!A111)*(Motors!$J$2:$J$75='Results (DO NOT EDIT)'!G111), 0)
)</f>
        <v>#N/A</v>
      </c>
      <c r="I111" s="2" cm="1">
        <f t="array" ref="I111">_xlfn.XLOOKUP(A111, Batteries!A:A, Batteries!E:E*Batteries!F:F)/1000</f>
        <v>52.25</v>
      </c>
      <c r="J111" s="2" t="e" cm="1">
        <f t="array" ref="J111">_xlfn.XLOOKUP(B111, Batteries!A:A, Batteries!E:E*Batteries!G:G)/1000</f>
        <v>#N/A</v>
      </c>
      <c r="K111" t="e">
        <f>C111/H111/Calculations!$B$6 + Calculations!$B$3</f>
        <v>#N/A</v>
      </c>
      <c r="L111" t="e">
        <f>(C111*Calculations!$B$7/H111/Calculations!$B$6)</f>
        <v>#N/A</v>
      </c>
      <c r="M111" t="e">
        <f>(C111*Calculations!$B$7/H111/Calculations!$B$6) + Calculations!$B$3</f>
        <v>#N/A</v>
      </c>
      <c r="N111" t="e">
        <f>_xlfn.XLOOKUP(B111, Batteries!A:A, Batteries!E:E)/1000*60/K111</f>
        <v>#N/A</v>
      </c>
      <c r="O111" t="e">
        <f>_xlfn.XLOOKUP(A111, Motors!A:A, Motors!F:F)*4+_xlfn.XLOOKUP('Results (DO NOT EDIT)'!B111, Batteries!A:A, Batteries!D:D)</f>
        <v>#N/A</v>
      </c>
    </row>
    <row r="112" spans="1:15" ht="15" customHeight="1">
      <c r="A112">
        <f>MOD(ROW()-2, Calculations!$B$8) + 1</f>
        <v>1</v>
      </c>
      <c r="B112">
        <f>INT((ROW()-2)/Calculations!$B$8) + 1</f>
        <v>56</v>
      </c>
      <c r="C112" t="e">
        <f>Calculations!$B$2+_xlfn.XLOOKUP(A112, Motors!A:A, Motors!D:D)*Calculations!$B$5+_xlfn.XLOOKUP(B112, Batteries!A:A, Batteries!C:C)</f>
        <v>#N/A</v>
      </c>
      <c r="D112" t="e">
        <f>C112*Calculations!$B$4/Calculations!$B$5</f>
        <v>#N/A</v>
      </c>
      <c r="E112" t="e">
        <f t="shared" si="1"/>
        <v>#N/A</v>
      </c>
      <c r="F112" s="2">
        <f>_xlfn.MAXIFS(Motors!$E$2:$E$75, Motors!$A$2:$A$75, A112)</f>
        <v>156.57</v>
      </c>
      <c r="G112" t="e" cm="1">
        <f t="array" ref="G112">INDEX(_xlfn._xlws.FILTER(Motors!$J$2:$J$75, Motors!$A$2:$A$75='Results (DO NOT EDIT)'!$A112), MATCH(TRUE, INDEX(ABS(_xlfn._xlws.FILTER(Motors!$G$2:$G$75, Motors!$A$2:$A$75='Results (DO NOT EDIT)'!$A112) - 'Results (DO NOT EDIT)'!$D112) = MIN(INDEX(ABS(_xlfn._xlws.FILTER(Motors!$G$2:$G$75, Motors!$A$2:$A$75='Results (DO NOT EDIT)'!$A112) - 'Results (DO NOT EDIT)'!$D112), 0)), 0), 0))</f>
        <v>#N/A</v>
      </c>
      <c r="H112" s="2" t="e" cm="1">
        <f t="array" ref="H112">INDEX(
  Motors!$I$2:$I$75,
  MATCH(1, (Motors!$A$2:$A$75='Results (DO NOT EDIT)'!A112)*(Motors!$J$2:$J$75='Results (DO NOT EDIT)'!G112), 0)
)</f>
        <v>#N/A</v>
      </c>
      <c r="I112" s="2" cm="1">
        <f t="array" ref="I112">_xlfn.XLOOKUP(A112, Batteries!A:A, Batteries!E:E*Batteries!F:F)/1000</f>
        <v>72</v>
      </c>
      <c r="J112" s="2" t="e" cm="1">
        <f t="array" ref="J112">_xlfn.XLOOKUP(B112, Batteries!A:A, Batteries!E:E*Batteries!G:G)/1000</f>
        <v>#N/A</v>
      </c>
      <c r="K112" t="e">
        <f>C112/H112/Calculations!$B$6 + Calculations!$B$3</f>
        <v>#N/A</v>
      </c>
      <c r="L112" t="e">
        <f>(C112*Calculations!$B$7/H112/Calculations!$B$6)</f>
        <v>#N/A</v>
      </c>
      <c r="M112" t="e">
        <f>(C112*Calculations!$B$7/H112/Calculations!$B$6) + Calculations!$B$3</f>
        <v>#N/A</v>
      </c>
      <c r="N112" t="e">
        <f>_xlfn.XLOOKUP(B112, Batteries!A:A, Batteries!E:E)/1000*60/K112</f>
        <v>#N/A</v>
      </c>
      <c r="O112" t="e">
        <f>_xlfn.XLOOKUP(A112, Motors!A:A, Motors!F:F)*4+_xlfn.XLOOKUP('Results (DO NOT EDIT)'!B112, Batteries!A:A, Batteries!D:D)</f>
        <v>#N/A</v>
      </c>
    </row>
    <row r="113" spans="1:15" ht="15" customHeight="1">
      <c r="A113">
        <f>MOD(ROW()-2, Calculations!$B$8) + 1</f>
        <v>2</v>
      </c>
      <c r="B113">
        <f>INT((ROW()-2)/Calculations!$B$8) + 1</f>
        <v>56</v>
      </c>
      <c r="C113" t="e">
        <f>Calculations!$B$2+_xlfn.XLOOKUP(A113, Motors!A:A, Motors!D:D)*Calculations!$B$5+_xlfn.XLOOKUP(B113, Batteries!A:A, Batteries!C:C)</f>
        <v>#N/A</v>
      </c>
      <c r="D113" t="e">
        <f>C113*Calculations!$B$4/Calculations!$B$5</f>
        <v>#N/A</v>
      </c>
      <c r="E113" t="e">
        <f t="shared" si="1"/>
        <v>#N/A</v>
      </c>
      <c r="F113" s="2">
        <f>_xlfn.MAXIFS(Motors!$E$2:$E$75, Motors!$A$2:$A$75, A113)</f>
        <v>115</v>
      </c>
      <c r="G113" t="e" cm="1">
        <f t="array" ref="G113">INDEX(_xlfn._xlws.FILTER(Motors!$J$2:$J$75, Motors!$A$2:$A$75='Results (DO NOT EDIT)'!$A113), MATCH(TRUE, INDEX(ABS(_xlfn._xlws.FILTER(Motors!$G$2:$G$75, Motors!$A$2:$A$75='Results (DO NOT EDIT)'!$A113) - 'Results (DO NOT EDIT)'!$D113) = MIN(INDEX(ABS(_xlfn._xlws.FILTER(Motors!$G$2:$G$75, Motors!$A$2:$A$75='Results (DO NOT EDIT)'!$A113) - 'Results (DO NOT EDIT)'!$D113), 0)), 0), 0))</f>
        <v>#N/A</v>
      </c>
      <c r="H113" s="2" t="e" cm="1">
        <f t="array" ref="H113">INDEX(
  Motors!$I$2:$I$75,
  MATCH(1, (Motors!$A$2:$A$75='Results (DO NOT EDIT)'!A113)*(Motors!$J$2:$J$75='Results (DO NOT EDIT)'!G113), 0)
)</f>
        <v>#N/A</v>
      </c>
      <c r="I113" s="2" cm="1">
        <f t="array" ref="I113">_xlfn.XLOOKUP(A113, Batteries!A:A, Batteries!E:E*Batteries!F:F)/1000</f>
        <v>52.25</v>
      </c>
      <c r="J113" s="2" t="e" cm="1">
        <f t="array" ref="J113">_xlfn.XLOOKUP(B113, Batteries!A:A, Batteries!E:E*Batteries!G:G)/1000</f>
        <v>#N/A</v>
      </c>
      <c r="K113" t="e">
        <f>C113/H113/Calculations!$B$6 + Calculations!$B$3</f>
        <v>#N/A</v>
      </c>
      <c r="L113" t="e">
        <f>(C113*Calculations!$B$7/H113/Calculations!$B$6)</f>
        <v>#N/A</v>
      </c>
      <c r="M113" t="e">
        <f>(C113*Calculations!$B$7/H113/Calculations!$B$6) + Calculations!$B$3</f>
        <v>#N/A</v>
      </c>
      <c r="N113" t="e">
        <f>_xlfn.XLOOKUP(B113, Batteries!A:A, Batteries!E:E)/1000*60/K113</f>
        <v>#N/A</v>
      </c>
      <c r="O113" t="e">
        <f>_xlfn.XLOOKUP(A113, Motors!A:A, Motors!F:F)*4+_xlfn.XLOOKUP('Results (DO NOT EDIT)'!B113, Batteries!A:A, Batteries!D:D)</f>
        <v>#N/A</v>
      </c>
    </row>
    <row r="114" spans="1:15" ht="15" customHeight="1">
      <c r="A114">
        <f>MOD(ROW()-2, Calculations!$B$8) + 1</f>
        <v>1</v>
      </c>
      <c r="B114">
        <f>INT((ROW()-2)/Calculations!$B$8) + 1</f>
        <v>57</v>
      </c>
      <c r="C114" t="e">
        <f>Calculations!$B$2+_xlfn.XLOOKUP(A114, Motors!A:A, Motors!D:D)*Calculations!$B$5+_xlfn.XLOOKUP(B114, Batteries!A:A, Batteries!C:C)</f>
        <v>#N/A</v>
      </c>
      <c r="D114" t="e">
        <f>C114*Calculations!$B$4/Calculations!$B$5</f>
        <v>#N/A</v>
      </c>
      <c r="E114" t="e">
        <f t="shared" si="1"/>
        <v>#N/A</v>
      </c>
      <c r="F114" s="2">
        <f>_xlfn.MAXIFS(Motors!$E$2:$E$75, Motors!$A$2:$A$75, A114)</f>
        <v>156.57</v>
      </c>
      <c r="G114" t="e" cm="1">
        <f t="array" ref="G114">INDEX(_xlfn._xlws.FILTER(Motors!$J$2:$J$75, Motors!$A$2:$A$75='Results (DO NOT EDIT)'!$A114), MATCH(TRUE, INDEX(ABS(_xlfn._xlws.FILTER(Motors!$G$2:$G$75, Motors!$A$2:$A$75='Results (DO NOT EDIT)'!$A114) - 'Results (DO NOT EDIT)'!$D114) = MIN(INDEX(ABS(_xlfn._xlws.FILTER(Motors!$G$2:$G$75, Motors!$A$2:$A$75='Results (DO NOT EDIT)'!$A114) - 'Results (DO NOT EDIT)'!$D114), 0)), 0), 0))</f>
        <v>#N/A</v>
      </c>
      <c r="H114" s="2" t="e" cm="1">
        <f t="array" ref="H114">INDEX(
  Motors!$I$2:$I$75,
  MATCH(1, (Motors!$A$2:$A$75='Results (DO NOT EDIT)'!A114)*(Motors!$J$2:$J$75='Results (DO NOT EDIT)'!G114), 0)
)</f>
        <v>#N/A</v>
      </c>
      <c r="I114" s="2" cm="1">
        <f t="array" ref="I114">_xlfn.XLOOKUP(A114, Batteries!A:A, Batteries!E:E*Batteries!F:F)/1000</f>
        <v>72</v>
      </c>
      <c r="J114" s="2" t="e" cm="1">
        <f t="array" ref="J114">_xlfn.XLOOKUP(B114, Batteries!A:A, Batteries!E:E*Batteries!G:G)/1000</f>
        <v>#N/A</v>
      </c>
      <c r="K114" t="e">
        <f>C114/H114/Calculations!$B$6 + Calculations!$B$3</f>
        <v>#N/A</v>
      </c>
      <c r="L114" t="e">
        <f>(C114*Calculations!$B$7/H114/Calculations!$B$6)</f>
        <v>#N/A</v>
      </c>
      <c r="M114" t="e">
        <f>(C114*Calculations!$B$7/H114/Calculations!$B$6) + Calculations!$B$3</f>
        <v>#N/A</v>
      </c>
      <c r="N114" t="e">
        <f>_xlfn.XLOOKUP(B114, Batteries!A:A, Batteries!E:E)/1000*60/K114</f>
        <v>#N/A</v>
      </c>
      <c r="O114" t="e">
        <f>_xlfn.XLOOKUP(A114, Motors!A:A, Motors!F:F)*4+_xlfn.XLOOKUP('Results (DO NOT EDIT)'!B114, Batteries!A:A, Batteries!D:D)</f>
        <v>#N/A</v>
      </c>
    </row>
    <row r="115" spans="1:15" ht="15" customHeight="1">
      <c r="A115">
        <f>MOD(ROW()-2, Calculations!$B$8) + 1</f>
        <v>2</v>
      </c>
      <c r="B115">
        <f>INT((ROW()-2)/Calculations!$B$8) + 1</f>
        <v>57</v>
      </c>
      <c r="C115" t="e">
        <f>Calculations!$B$2+_xlfn.XLOOKUP(A115, Motors!A:A, Motors!D:D)*Calculations!$B$5+_xlfn.XLOOKUP(B115, Batteries!A:A, Batteries!C:C)</f>
        <v>#N/A</v>
      </c>
      <c r="D115" t="e">
        <f>C115*Calculations!$B$4/Calculations!$B$5</f>
        <v>#N/A</v>
      </c>
      <c r="E115" t="e">
        <f t="shared" si="1"/>
        <v>#N/A</v>
      </c>
      <c r="F115" s="2">
        <f>_xlfn.MAXIFS(Motors!$E$2:$E$75, Motors!$A$2:$A$75, A115)</f>
        <v>115</v>
      </c>
      <c r="G115" t="e" cm="1">
        <f t="array" ref="G115">INDEX(_xlfn._xlws.FILTER(Motors!$J$2:$J$75, Motors!$A$2:$A$75='Results (DO NOT EDIT)'!$A115), MATCH(TRUE, INDEX(ABS(_xlfn._xlws.FILTER(Motors!$G$2:$G$75, Motors!$A$2:$A$75='Results (DO NOT EDIT)'!$A115) - 'Results (DO NOT EDIT)'!$D115) = MIN(INDEX(ABS(_xlfn._xlws.FILTER(Motors!$G$2:$G$75, Motors!$A$2:$A$75='Results (DO NOT EDIT)'!$A115) - 'Results (DO NOT EDIT)'!$D115), 0)), 0), 0))</f>
        <v>#N/A</v>
      </c>
      <c r="H115" s="2" t="e" cm="1">
        <f t="array" ref="H115">INDEX(
  Motors!$I$2:$I$75,
  MATCH(1, (Motors!$A$2:$A$75='Results (DO NOT EDIT)'!A115)*(Motors!$J$2:$J$75='Results (DO NOT EDIT)'!G115), 0)
)</f>
        <v>#N/A</v>
      </c>
      <c r="I115" s="2" cm="1">
        <f t="array" ref="I115">_xlfn.XLOOKUP(A115, Batteries!A:A, Batteries!E:E*Batteries!F:F)/1000</f>
        <v>52.25</v>
      </c>
      <c r="J115" s="2" t="e" cm="1">
        <f t="array" ref="J115">_xlfn.XLOOKUP(B115, Batteries!A:A, Batteries!E:E*Batteries!G:G)/1000</f>
        <v>#N/A</v>
      </c>
      <c r="K115" t="e">
        <f>C115/H115/Calculations!$B$6 + Calculations!$B$3</f>
        <v>#N/A</v>
      </c>
      <c r="L115" t="e">
        <f>(C115*Calculations!$B$7/H115/Calculations!$B$6)</f>
        <v>#N/A</v>
      </c>
      <c r="M115" t="e">
        <f>(C115*Calculations!$B$7/H115/Calculations!$B$6) + Calculations!$B$3</f>
        <v>#N/A</v>
      </c>
      <c r="N115" t="e">
        <f>_xlfn.XLOOKUP(B115, Batteries!A:A, Batteries!E:E)/1000*60/K115</f>
        <v>#N/A</v>
      </c>
      <c r="O115" t="e">
        <f>_xlfn.XLOOKUP(A115, Motors!A:A, Motors!F:F)*4+_xlfn.XLOOKUP('Results (DO NOT EDIT)'!B115, Batteries!A:A, Batteries!D:D)</f>
        <v>#N/A</v>
      </c>
    </row>
  </sheetData>
  <conditionalFormatting sqref="D2:D115">
    <cfRule type="cellIs" dxfId="8" priority="11" operator="greaterThan">
      <formula>F2</formula>
    </cfRule>
  </conditionalFormatting>
  <conditionalFormatting sqref="K2:K115">
    <cfRule type="cellIs" dxfId="7" priority="9" operator="greaterThan">
      <formula>J2</formula>
    </cfRule>
    <cfRule type="cellIs" dxfId="6" priority="10" operator="greaterThan">
      <formula>I2</formula>
    </cfRule>
  </conditionalFormatting>
  <conditionalFormatting sqref="L2:L115">
    <cfRule type="cellIs" dxfId="5" priority="6" operator="greaterThan">
      <formula>J2</formula>
    </cfRule>
    <cfRule type="cellIs" dxfId="4" priority="7" operator="greaterThan">
      <formula>I2</formula>
    </cfRule>
  </conditionalFormatting>
  <conditionalFormatting sqref="M2:M115">
    <cfRule type="cellIs" dxfId="3" priority="1" operator="greaterThan">
      <formula>J2</formula>
    </cfRule>
    <cfRule type="cellIs" dxfId="2" priority="2" operator="greaterThan">
      <formula>I2</formula>
    </cfRule>
  </conditionalFormatting>
  <conditionalFormatting sqref="N1:N1048576">
    <cfRule type="top10" dxfId="1" priority="8" percent="1" rank="10"/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lessThan" id="{F92FF38A-09CC-46AE-9579-192EF7843AC2}">
            <xm:f>Calculations!$B$4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E1:E1048576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E5" sqref="E5"/>
    </sheetView>
  </sheetViews>
  <sheetFormatPr defaultRowHeight="15.75" customHeight="1"/>
  <cols>
    <col min="1" max="1" width="14.85546875" customWidth="1"/>
    <col min="2" max="2" width="33" customWidth="1"/>
    <col min="3" max="3" width="18.140625" customWidth="1"/>
    <col min="4" max="7" width="12.42578125" customWidth="1"/>
    <col min="8" max="8" width="9.140625" customWidth="1"/>
    <col min="9" max="9" width="14.28515625" style="5" customWidth="1"/>
    <col min="10" max="10" width="12.42578125" style="5" customWidth="1"/>
    <col min="11" max="11" width="9.140625" customWidth="1"/>
  </cols>
  <sheetData>
    <row r="1" spans="1:10" s="2" customFormat="1" ht="20.25" customHeight="1">
      <c r="A1" s="2" t="s">
        <v>24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9" t="s">
        <v>31</v>
      </c>
      <c r="J1" s="9" t="s">
        <v>46</v>
      </c>
    </row>
    <row r="2" spans="1:10" ht="15.75" customHeight="1">
      <c r="A2">
        <v>1</v>
      </c>
      <c r="B2" t="s">
        <v>47</v>
      </c>
      <c r="C2" t="s">
        <v>48</v>
      </c>
      <c r="D2">
        <v>6.9</v>
      </c>
      <c r="E2">
        <v>156.57</v>
      </c>
      <c r="F2">
        <v>14.5</v>
      </c>
      <c r="G2">
        <v>58.85</v>
      </c>
      <c r="H2">
        <v>17.2</v>
      </c>
      <c r="I2" s="10">
        <f t="shared" ref="I2:I21" si="0">G2/H2</f>
        <v>3.4215116279069768</v>
      </c>
      <c r="J2" s="10">
        <f>H2/Calculations!$B$6</f>
        <v>1.5495495495495495</v>
      </c>
    </row>
    <row r="3" spans="1:10" ht="15.75" customHeight="1">
      <c r="A3">
        <v>1</v>
      </c>
      <c r="B3" t="s">
        <v>47</v>
      </c>
      <c r="C3" t="s">
        <v>48</v>
      </c>
      <c r="D3">
        <v>6.9</v>
      </c>
      <c r="E3">
        <v>156.57</v>
      </c>
      <c r="F3">
        <v>14.5</v>
      </c>
      <c r="G3">
        <v>87.49</v>
      </c>
      <c r="H3">
        <v>29.51</v>
      </c>
      <c r="I3" s="10">
        <f t="shared" si="0"/>
        <v>2.964757709251101</v>
      </c>
      <c r="J3" s="10">
        <f>H3/Calculations!$B$6</f>
        <v>2.6585585585585587</v>
      </c>
    </row>
    <row r="4" spans="1:10" ht="15.75" customHeight="1">
      <c r="A4">
        <v>1</v>
      </c>
      <c r="B4" t="s">
        <v>47</v>
      </c>
      <c r="C4" t="s">
        <v>48</v>
      </c>
      <c r="D4">
        <v>6.9</v>
      </c>
      <c r="E4">
        <v>156.57</v>
      </c>
      <c r="F4">
        <v>14.5</v>
      </c>
      <c r="G4">
        <v>129.85</v>
      </c>
      <c r="H4">
        <v>50.27</v>
      </c>
      <c r="I4" s="10">
        <f t="shared" si="0"/>
        <v>2.5830515217823748</v>
      </c>
      <c r="J4" s="10">
        <f>H4/Calculations!$B$6</f>
        <v>4.5288288288288294</v>
      </c>
    </row>
    <row r="5" spans="1:10" ht="15.75" customHeight="1">
      <c r="A5">
        <v>1</v>
      </c>
      <c r="B5" t="s">
        <v>47</v>
      </c>
      <c r="C5" t="s">
        <v>48</v>
      </c>
      <c r="D5">
        <v>6.9</v>
      </c>
      <c r="E5">
        <v>156.57</v>
      </c>
      <c r="F5">
        <v>14.5</v>
      </c>
      <c r="G5">
        <v>156.57</v>
      </c>
      <c r="H5">
        <v>68.06</v>
      </c>
      <c r="I5" s="10">
        <f t="shared" si="0"/>
        <v>2.3004701733764326</v>
      </c>
      <c r="J5" s="10">
        <f>H5/Calculations!$B$6</f>
        <v>6.1315315315315315</v>
      </c>
    </row>
    <row r="6" spans="1:10" ht="15.75" customHeight="1">
      <c r="A6">
        <v>2</v>
      </c>
      <c r="B6" t="s">
        <v>49</v>
      </c>
      <c r="C6" t="s">
        <v>50</v>
      </c>
      <c r="D6">
        <v>6</v>
      </c>
      <c r="E6">
        <v>115</v>
      </c>
      <c r="F6">
        <v>15</v>
      </c>
      <c r="G6">
        <v>8</v>
      </c>
      <c r="H6">
        <v>1.7</v>
      </c>
      <c r="I6" s="10">
        <f t="shared" si="0"/>
        <v>4.7058823529411766</v>
      </c>
      <c r="J6" s="10">
        <f>H6/Calculations!$B$6</f>
        <v>0.15315315315315314</v>
      </c>
    </row>
    <row r="7" spans="1:10" ht="15.75" customHeight="1">
      <c r="A7">
        <v>2</v>
      </c>
      <c r="B7" t="s">
        <v>49</v>
      </c>
      <c r="C7" t="s">
        <v>50</v>
      </c>
      <c r="D7">
        <v>6</v>
      </c>
      <c r="E7">
        <v>115</v>
      </c>
      <c r="F7">
        <v>15</v>
      </c>
      <c r="G7">
        <v>37</v>
      </c>
      <c r="H7">
        <v>8.9</v>
      </c>
      <c r="I7" s="10">
        <f t="shared" si="0"/>
        <v>4.1573033707865168</v>
      </c>
      <c r="J7" s="10">
        <f>H7/Calculations!$B$6</f>
        <v>0.80180180180180183</v>
      </c>
    </row>
    <row r="8" spans="1:10" ht="15.75" customHeight="1">
      <c r="A8">
        <v>2</v>
      </c>
      <c r="B8" t="s">
        <v>49</v>
      </c>
      <c r="C8" t="s">
        <v>50</v>
      </c>
      <c r="D8">
        <v>6</v>
      </c>
      <c r="E8">
        <v>115</v>
      </c>
      <c r="F8">
        <v>15</v>
      </c>
      <c r="G8">
        <v>80</v>
      </c>
      <c r="H8">
        <v>24.4</v>
      </c>
      <c r="I8" s="10">
        <f t="shared" si="0"/>
        <v>3.278688524590164</v>
      </c>
      <c r="J8" s="10">
        <f>H8/Calculations!$B$6</f>
        <v>2.198198198198198</v>
      </c>
    </row>
    <row r="9" spans="1:10" ht="15.75" customHeight="1">
      <c r="A9">
        <v>2</v>
      </c>
      <c r="B9" t="s">
        <v>49</v>
      </c>
      <c r="C9" t="s">
        <v>50</v>
      </c>
      <c r="D9">
        <v>6</v>
      </c>
      <c r="E9">
        <v>115</v>
      </c>
      <c r="F9">
        <v>15</v>
      </c>
      <c r="G9">
        <v>115</v>
      </c>
      <c r="H9">
        <v>40</v>
      </c>
      <c r="I9" s="10">
        <f t="shared" si="0"/>
        <v>2.875</v>
      </c>
      <c r="J9" s="10">
        <f>H9/Calculations!$B$6</f>
        <v>3.6036036036036037</v>
      </c>
    </row>
    <row r="10" spans="1:10" ht="15.75" customHeight="1">
      <c r="I10" s="10" t="e">
        <f t="shared" si="0"/>
        <v>#DIV/0!</v>
      </c>
      <c r="J10" s="10">
        <f>H10/Calculations!$B$6</f>
        <v>0</v>
      </c>
    </row>
    <row r="11" spans="1:10" ht="15.75" customHeight="1">
      <c r="I11" s="10" t="e">
        <f t="shared" si="0"/>
        <v>#DIV/0!</v>
      </c>
      <c r="J11" s="10">
        <f>H11/Calculations!$B$6</f>
        <v>0</v>
      </c>
    </row>
    <row r="12" spans="1:10" ht="15.75" customHeight="1">
      <c r="I12" s="10" t="e">
        <f t="shared" si="0"/>
        <v>#DIV/0!</v>
      </c>
      <c r="J12" s="10">
        <f>H12/Calculations!$B$6</f>
        <v>0</v>
      </c>
    </row>
    <row r="13" spans="1:10" ht="15.75" customHeight="1">
      <c r="I13" s="10" t="e">
        <f t="shared" si="0"/>
        <v>#DIV/0!</v>
      </c>
      <c r="J13" s="10">
        <f>H13/Calculations!$B$6</f>
        <v>0</v>
      </c>
    </row>
    <row r="14" spans="1:10" ht="15.75" customHeight="1">
      <c r="I14" s="10" t="e">
        <f t="shared" si="0"/>
        <v>#DIV/0!</v>
      </c>
      <c r="J14" s="10">
        <f>H14/Calculations!$B$6</f>
        <v>0</v>
      </c>
    </row>
    <row r="15" spans="1:10" ht="15.75" customHeight="1">
      <c r="I15" s="10" t="e">
        <f t="shared" si="0"/>
        <v>#DIV/0!</v>
      </c>
      <c r="J15" s="10">
        <f>H15/Calculations!$B$6</f>
        <v>0</v>
      </c>
    </row>
    <row r="16" spans="1:10" ht="15.75" customHeight="1">
      <c r="I16" s="10" t="e">
        <f t="shared" si="0"/>
        <v>#DIV/0!</v>
      </c>
      <c r="J16" s="10">
        <f>H16/Calculations!$B$6</f>
        <v>0</v>
      </c>
    </row>
    <row r="17" spans="9:10" ht="15.75" customHeight="1">
      <c r="I17" s="10" t="e">
        <f t="shared" si="0"/>
        <v>#DIV/0!</v>
      </c>
      <c r="J17" s="10">
        <f>H17/Calculations!$B$6</f>
        <v>0</v>
      </c>
    </row>
    <row r="18" spans="9:10" ht="15.75" customHeight="1">
      <c r="I18" s="10" t="e">
        <f t="shared" si="0"/>
        <v>#DIV/0!</v>
      </c>
      <c r="J18" s="10">
        <f>H18/Calculations!$B$6</f>
        <v>0</v>
      </c>
    </row>
    <row r="19" spans="9:10" ht="15.75" customHeight="1">
      <c r="I19" s="10" t="e">
        <f t="shared" si="0"/>
        <v>#DIV/0!</v>
      </c>
      <c r="J19" s="10">
        <f>H19/Calculations!$B$6</f>
        <v>0</v>
      </c>
    </row>
    <row r="20" spans="9:10" ht="15.75" customHeight="1">
      <c r="I20" s="10" t="e">
        <f t="shared" si="0"/>
        <v>#DIV/0!</v>
      </c>
      <c r="J20" s="10">
        <f>H20/Calculations!$B$6</f>
        <v>0</v>
      </c>
    </row>
    <row r="21" spans="9:10" ht="15.75" customHeight="1">
      <c r="I21" s="10" t="e">
        <f t="shared" si="0"/>
        <v>#DIV/0!</v>
      </c>
      <c r="J21" s="10">
        <f>H21/Calculations!$B$6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2264-BC13-4E87-B449-549A7F0E40B0}">
  <dimension ref="A1:G16"/>
  <sheetViews>
    <sheetView workbookViewId="0">
      <selection activeCell="B7" sqref="B7"/>
    </sheetView>
  </sheetViews>
  <sheetFormatPr defaultRowHeight="14.45"/>
  <cols>
    <col min="2" max="2" width="61" customWidth="1"/>
    <col min="6" max="6" width="20.5703125" customWidth="1"/>
    <col min="7" max="7" width="17.85546875" customWidth="1"/>
  </cols>
  <sheetData>
    <row r="1" spans="1:7">
      <c r="B1" t="s">
        <v>51</v>
      </c>
      <c r="C1" t="s">
        <v>41</v>
      </c>
      <c r="D1" t="s">
        <v>43</v>
      </c>
      <c r="E1" t="s">
        <v>52</v>
      </c>
      <c r="F1" t="s">
        <v>53</v>
      </c>
      <c r="G1" t="s">
        <v>54</v>
      </c>
    </row>
    <row r="2" spans="1:7">
      <c r="A2">
        <v>1</v>
      </c>
      <c r="B2" t="s">
        <v>55</v>
      </c>
      <c r="C2">
        <v>70</v>
      </c>
      <c r="D2" s="1">
        <v>17</v>
      </c>
      <c r="E2">
        <v>900</v>
      </c>
      <c r="F2">
        <v>80</v>
      </c>
      <c r="G2">
        <v>80</v>
      </c>
    </row>
    <row r="3" spans="1:7">
      <c r="A3">
        <v>2</v>
      </c>
      <c r="B3" t="s">
        <v>56</v>
      </c>
      <c r="C3">
        <v>48</v>
      </c>
      <c r="D3">
        <v>18</v>
      </c>
      <c r="E3">
        <v>550</v>
      </c>
      <c r="F3">
        <v>95</v>
      </c>
      <c r="G3">
        <v>95</v>
      </c>
    </row>
    <row r="4" spans="1:7" ht="15">
      <c r="A4">
        <v>3</v>
      </c>
      <c r="B4" t="s">
        <v>57</v>
      </c>
      <c r="C4">
        <v>50</v>
      </c>
      <c r="D4" s="1">
        <v>18</v>
      </c>
      <c r="E4">
        <v>650</v>
      </c>
      <c r="F4">
        <v>60</v>
      </c>
      <c r="G4">
        <v>60</v>
      </c>
    </row>
    <row r="5" spans="1:7" ht="15">
      <c r="A5">
        <v>4</v>
      </c>
      <c r="B5" t="s">
        <v>58</v>
      </c>
      <c r="C5">
        <v>65</v>
      </c>
      <c r="D5" s="1">
        <v>20</v>
      </c>
      <c r="E5">
        <v>750</v>
      </c>
      <c r="F5">
        <v>120</v>
      </c>
      <c r="G5">
        <v>120</v>
      </c>
    </row>
    <row r="6" spans="1:7" ht="15">
      <c r="A6">
        <v>5</v>
      </c>
      <c r="B6" t="s">
        <v>59</v>
      </c>
      <c r="C6">
        <v>69</v>
      </c>
      <c r="D6" s="1">
        <v>22</v>
      </c>
      <c r="E6">
        <v>1100</v>
      </c>
      <c r="F6">
        <v>50</v>
      </c>
      <c r="G6">
        <v>50</v>
      </c>
    </row>
    <row r="7" spans="1:7" ht="15">
      <c r="A7">
        <v>6</v>
      </c>
      <c r="B7" t="s">
        <v>60</v>
      </c>
      <c r="C7">
        <v>140</v>
      </c>
      <c r="D7" s="1">
        <v>38</v>
      </c>
      <c r="E7">
        <v>3000</v>
      </c>
      <c r="F7">
        <v>100</v>
      </c>
      <c r="G7">
        <v>100</v>
      </c>
    </row>
    <row r="9" spans="1:7" ht="15"/>
    <row r="10" spans="1:7" ht="15"/>
    <row r="13" spans="1:7" ht="15"/>
    <row r="14" spans="1:7" ht="15"/>
    <row r="15" spans="1:7" ht="15"/>
    <row r="16" spans="1:7" ht="15"/>
  </sheetData>
  <hyperlinks>
    <hyperlink ref="D2" r:id="rId1" display="33.31" xr:uid="{D7A9B94D-4558-44EE-B251-2ECDD598ED58}"/>
    <hyperlink ref="D4" r:id="rId2" display="https://www.gaoneng.shop/products/gaoneng-gnb-2s-7.4v-1550mah-100c-xt60-lipo-battery" xr:uid="{4681D6A9-45D3-4624-9692-6CD54F99BD40}"/>
    <hyperlink ref="D7" r:id="rId3" display="https://www.gaoneng.shop/products/gaoneng-gnb-2s-7.4v-1850mah-100c-lipo-battery-xt60-connector" xr:uid="{4B2F2160-0CEA-4C05-88D0-2D6B6795180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96AE29E7C8646A8607254A6F9B13D" ma:contentTypeVersion="3" ma:contentTypeDescription="Create a new document." ma:contentTypeScope="" ma:versionID="59ee1f5ceaf4366627889b8d14739f33">
  <xsd:schema xmlns:xsd="http://www.w3.org/2001/XMLSchema" xmlns:xs="http://www.w3.org/2001/XMLSchema" xmlns:p="http://schemas.microsoft.com/office/2006/metadata/properties" xmlns:ns2="9d7f033d-b23e-4e1c-ad7c-f89aa8dd6b6f" targetNamespace="http://schemas.microsoft.com/office/2006/metadata/properties" ma:root="true" ma:fieldsID="bbf6516549d3236fdcf440d80363060f" ns2:_="">
    <xsd:import namespace="9d7f033d-b23e-4e1c-ad7c-f89aa8dd6b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7f033d-b23e-4e1c-ad7c-f89aa8dd6b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DFD2A2-DD6B-42AD-BEA6-5DFF6419705A}"/>
</file>

<file path=customXml/itemProps2.xml><?xml version="1.0" encoding="utf-8"?>
<ds:datastoreItem xmlns:ds="http://schemas.openxmlformats.org/officeDocument/2006/customXml" ds:itemID="{67CEA11C-C663-46B9-BA42-96B80DE5DABA}"/>
</file>

<file path=customXml/itemProps3.xml><?xml version="1.0" encoding="utf-8"?>
<ds:datastoreItem xmlns:ds="http://schemas.openxmlformats.org/officeDocument/2006/customXml" ds:itemID="{2823E529-8CEF-4ACD-990D-D9F3786DFFF4}"/>
</file>

<file path=customXml/itemProps4.xml><?xml version="1.0" encoding="utf-8"?>
<ds:datastoreItem xmlns:ds="http://schemas.openxmlformats.org/officeDocument/2006/customXml" ds:itemID="{CA4E3B62-1385-4376-BAD6-89AD6A99E5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2025-06-24T10:10:19Z</dcterms:created>
  <dcterms:modified xsi:type="dcterms:W3CDTF">2026-02-28T19:59:50Z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0x010100E1996AE29E7C8646A8607254A6F9B13D</vt:lpwstr>
  </property>
</Properties>
</file>